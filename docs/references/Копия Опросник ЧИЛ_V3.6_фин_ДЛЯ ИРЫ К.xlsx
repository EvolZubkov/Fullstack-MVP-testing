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C:\Repositories\test-builder\docs\references\"/>
    </mc:Choice>
  </mc:AlternateContent>
  <xr:revisionPtr revIDLastSave="0" documentId="8_{00D6B878-EEC8-4009-8C20-D7EB44CF5566}" xr6:coauthVersionLast="47" xr6:coauthVersionMax="47" xr10:uidLastSave="{00000000-0000-0000-0000-000000000000}"/>
  <bookViews>
    <workbookView xWindow="-38520" yWindow="-1170" windowWidth="38640" windowHeight="21120" activeTab="7" xr2:uid="{00000000-000D-0000-FFFF-FFFF00000000}"/>
  </bookViews>
  <sheets>
    <sheet name="Тест_в1" sheetId="1" state="hidden" r:id="rId1"/>
    <sheet name="Тест_в2" sheetId="2" r:id="rId2"/>
    <sheet name="Механика подсчета результатов" sheetId="3" r:id="rId3"/>
    <sheet name="1. Вводная часть отчета" sheetId="4" r:id="rId4"/>
    <sheet name="2. Харак-ка стилей" sheetId="5" r:id="rId5"/>
    <sheet name="3. Рекомендации по вед стилю " sheetId="6" r:id="rId6"/>
    <sheet name="4.Рекомендации по слаб стилю" sheetId="7" state="hidden" r:id="rId7"/>
    <sheet name="4.Прототип отчета" sheetId="8" r:id="rId8"/>
    <sheet name="Справка" sheetId="9" r:id="rId9"/>
  </sheets>
  <definedNames>
    <definedName name="_xlnm._FilterDatabase" localSheetId="1" hidden="1">Тест_в2!$A$6:$D$90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8" l="1"/>
  <c r="B5" i="8"/>
  <c r="B89" i="7"/>
  <c r="B81" i="7"/>
  <c r="B73" i="7"/>
  <c r="B65" i="7"/>
  <c r="B61" i="7"/>
  <c r="B56" i="7"/>
  <c r="B51" i="7"/>
  <c r="B46" i="7"/>
  <c r="B9" i="7"/>
  <c r="B4" i="7"/>
  <c r="N15" i="3"/>
  <c r="M15" i="3"/>
  <c r="L15" i="3"/>
  <c r="K15" i="3"/>
  <c r="O15" i="3" s="1"/>
  <c r="N14" i="3"/>
  <c r="M14" i="3"/>
  <c r="L14" i="3"/>
  <c r="K14" i="3"/>
  <c r="O14" i="3" s="1"/>
  <c r="N13" i="3"/>
  <c r="M13" i="3"/>
  <c r="L13" i="3"/>
  <c r="K13" i="3"/>
  <c r="O13" i="3" s="1"/>
  <c r="N12" i="3"/>
  <c r="M12" i="3"/>
  <c r="L12" i="3"/>
  <c r="K12" i="3"/>
  <c r="O12" i="3" s="1"/>
  <c r="N11" i="3"/>
  <c r="M11" i="3"/>
  <c r="L11" i="3"/>
  <c r="K11" i="3"/>
  <c r="O11" i="3" s="1"/>
  <c r="N10" i="3"/>
  <c r="M10" i="3"/>
  <c r="L10" i="3"/>
  <c r="K10" i="3"/>
  <c r="O10" i="3" s="1"/>
  <c r="N9" i="3"/>
  <c r="M9" i="3"/>
  <c r="L9" i="3"/>
  <c r="K9" i="3"/>
  <c r="O9" i="3" s="1"/>
  <c r="N8" i="3"/>
  <c r="M8" i="3"/>
  <c r="L8" i="3"/>
  <c r="K8" i="3"/>
  <c r="O8" i="3" s="1"/>
  <c r="N7" i="3"/>
  <c r="M7" i="3"/>
  <c r="L7" i="3"/>
  <c r="K7" i="3"/>
  <c r="O7" i="3" s="1"/>
  <c r="N6" i="3"/>
  <c r="M6" i="3"/>
  <c r="L6" i="3"/>
  <c r="K6" i="3"/>
  <c r="O6" i="3" s="1"/>
  <c r="N5" i="3"/>
  <c r="M5" i="3"/>
  <c r="L5" i="3"/>
  <c r="K5" i="3"/>
  <c r="O5" i="3" s="1"/>
  <c r="N4" i="3"/>
  <c r="M4" i="3"/>
  <c r="L4" i="3"/>
  <c r="K4" i="3"/>
  <c r="O4" i="3" s="1"/>
  <c r="N3" i="3"/>
  <c r="M3" i="3"/>
  <c r="L3" i="3"/>
  <c r="K3" i="3"/>
  <c r="O3" i="3" s="1"/>
  <c r="N2" i="3"/>
  <c r="N16" i="3" s="1"/>
  <c r="U2" i="3" s="1"/>
  <c r="M2" i="3"/>
  <c r="L2" i="3"/>
  <c r="K2" i="3"/>
  <c r="D87" i="2"/>
  <c r="D86" i="2"/>
  <c r="D81" i="2"/>
  <c r="D80" i="2"/>
  <c r="D75" i="2"/>
  <c r="D74" i="2"/>
  <c r="D69" i="2"/>
  <c r="D68" i="2"/>
  <c r="D63" i="2"/>
  <c r="D62" i="2"/>
  <c r="D57" i="2"/>
  <c r="D56" i="2"/>
  <c r="D51" i="2"/>
  <c r="D50" i="2"/>
  <c r="D45" i="2"/>
  <c r="D44" i="2"/>
  <c r="D39" i="2"/>
  <c r="D38" i="2"/>
  <c r="D33" i="2"/>
  <c r="D32" i="2"/>
  <c r="D27" i="2"/>
  <c r="D26" i="2"/>
  <c r="D21" i="2"/>
  <c r="D20" i="2"/>
  <c r="D15" i="2"/>
  <c r="D14" i="2"/>
  <c r="D9" i="2"/>
  <c r="D8" i="2"/>
  <c r="M16" i="3" l="1"/>
  <c r="T2" i="3" s="1"/>
  <c r="L16" i="3"/>
  <c r="S2" i="3" s="1"/>
  <c r="O3" i="8" s="1"/>
  <c r="O2" i="3"/>
  <c r="O5" i="8"/>
  <c r="K5" i="7"/>
  <c r="H26" i="8"/>
  <c r="F26" i="8"/>
  <c r="O4" i="8"/>
  <c r="K4" i="7"/>
  <c r="K16" i="3"/>
  <c r="D26" i="8" l="1"/>
  <c r="K3" i="7"/>
  <c r="O16" i="3"/>
  <c r="R2" i="3"/>
  <c r="O2" i="8" l="1"/>
  <c r="S21" i="3"/>
  <c r="K2" i="7"/>
  <c r="M21" i="3"/>
  <c r="V2" i="3"/>
  <c r="B26" i="8"/>
  <c r="S20" i="3"/>
  <c r="B111" i="7" l="1"/>
  <c r="B29" i="8"/>
  <c r="B32" i="7"/>
  <c r="B30" i="7"/>
  <c r="S22" i="3"/>
  <c r="S23" i="3" s="1"/>
  <c r="B81" i="8"/>
  <c r="B65" i="8"/>
  <c r="B53" i="8"/>
  <c r="B76" i="8"/>
  <c r="B64" i="8"/>
  <c r="B33" i="8"/>
  <c r="B75" i="8"/>
  <c r="B59" i="8"/>
  <c r="B89" i="8"/>
  <c r="B70" i="8"/>
  <c r="B54" i="8"/>
</calcChain>
</file>

<file path=xl/sharedStrings.xml><?xml version="1.0" encoding="utf-8"?>
<sst xmlns="http://schemas.openxmlformats.org/spreadsheetml/2006/main" count="395" uniqueCount="202">
  <si>
    <t>Тест</t>
  </si>
  <si>
    <t>b</t>
  </si>
  <si>
    <t>Цель теста- оценить собственное восприятие стиля человекоцентричности через фокус на людей или на задачи. Другими словами,  через какой стиль лидер проявляет свою человекоцентричность-через поддержку и развитие людей или через эффективное решение задач.</t>
  </si>
  <si>
    <t>c</t>
  </si>
  <si>
    <t>a</t>
  </si>
  <si>
    <t>1.</t>
  </si>
  <si>
    <t>d</t>
  </si>
  <si>
    <t>Как работать с тестом? Вам будет предложено 12 блоков рабочих ситуаций. В каждой из ситуаций задача распределить 6 или 7 баллов - что больше похоже ваше поведение как лидера. Если вы согласны с утверждением на все 100% вы можете отдать ему все 7 баллов. Проверьте, чтобы сумма баллов по каждому блоку не превышала 7.</t>
  </si>
  <si>
    <t xml:space="preserve">Клиент (заказчик) выражает сомнения в выборе предложенного вами решения, предлагая альтернативный подход. Какое действие, по-вашему мнению, будет наиболее правильным?
</t>
  </si>
  <si>
    <t>10.</t>
  </si>
  <si>
    <t>К (клиент)</t>
  </si>
  <si>
    <t>2.</t>
  </si>
  <si>
    <t>с Аней (распределить 7 баллов)?</t>
  </si>
  <si>
    <t>5.</t>
  </si>
  <si>
    <t xml:space="preserve">Подчиненный только что присоединился к команде и испытывает трудности с пониманием процессов. На чем, по-вашему мнению, надо сфокусироваться в процессе  его адаптации?
</t>
  </si>
  <si>
    <t>7.</t>
  </si>
  <si>
    <t>12.</t>
  </si>
  <si>
    <t>П (подчиненный)</t>
  </si>
  <si>
    <t xml:space="preserve">Заказчик просит провести обучающий семинар для его команды, чтобы лучше понять ваш продукт\услуги. Какое действие, по-вашему мнению, будет наиболее правильным?
</t>
  </si>
  <si>
    <t xml:space="preserve">Коллега делится новыми идеями для улучшения процесса. Какой вариант действия вы считаете наиболее правильным в этой ситуации?
</t>
  </si>
  <si>
    <t xml:space="preserve">Руководитель предлагает вам принять участие в важных переговорах. Какой вариант действий на этой встрече вы считаете наиболее правильным?
</t>
  </si>
  <si>
    <t>4.</t>
  </si>
  <si>
    <t>Кл (коллега)</t>
  </si>
  <si>
    <t>Р (руководитель)</t>
  </si>
  <si>
    <t xml:space="preserve">Руководитель предлагает вам возглавить новый проект. На каких вопросах вы считаете правильным сосредоточиться прежде всего?
</t>
  </si>
  <si>
    <t xml:space="preserve">Ваш подчиненный слабо справляется с задачами, регулярно допуская много ошибок. На чем вы считаете правильным сделать акцент во время вашей встречи?
</t>
  </si>
  <si>
    <t xml:space="preserve">3. </t>
  </si>
  <si>
    <t>Рекомендации по заполнению:</t>
  </si>
  <si>
    <t xml:space="preserve">Коллега просит вашего мнения по своему проекту, чтобы избежать ошибок. Какой вариант действия вы считаете наиболее правильным в данной ситуации?
</t>
  </si>
  <si>
    <t>8.</t>
  </si>
  <si>
    <t>6.</t>
  </si>
  <si>
    <t xml:space="preserve">Руководитель советуется с вами по решению, которое может повлиять на работу команды вашего отдела. Какой вариант действия вы считаете наиболее правильным?
</t>
  </si>
  <si>
    <t xml:space="preserve">Вы запланировали мотивационную беседу с эффективным сотрудником. На чем вы считаете правильным сделать акцент во время вашей встречи?
</t>
  </si>
  <si>
    <t>9.</t>
  </si>
  <si>
    <t xml:space="preserve">По завершению проекта заказчик просит сделать дополнительную работу. Какой вариант действия вы считаете наиболее правильным?
</t>
  </si>
  <si>
    <t>11.</t>
  </si>
  <si>
    <t>Вам надо выбрать коллегу в номинацию премии "Твой ход". Какой вариант действия вы считаете наиболее правильным в этой ситуации?</t>
  </si>
  <si>
    <t>Инструмент был разработан на основе модели человекоцентричного лидерства в Ростелекоме.</t>
  </si>
  <si>
    <t>Что вдохновляет вас как лидера?</t>
  </si>
  <si>
    <t>Процессный</t>
  </si>
  <si>
    <t>Целеустремленный</t>
  </si>
  <si>
    <t>Видеть, что в команде вежливо общаются и готовы помогать друг другу</t>
  </si>
  <si>
    <t>Командный</t>
  </si>
  <si>
    <t>Становлюсь медиатором, чтобы помочь коллегам договориться о командной работе</t>
  </si>
  <si>
    <t>Замечать,  что люди раскрывают потенциал, осваивают новое и берутся за развивающие задачи</t>
  </si>
  <si>
    <t>Вдохновляющий</t>
  </si>
  <si>
    <t xml:space="preserve"> </t>
  </si>
  <si>
    <t>Видеть, как отлаженная мною система работает как часы</t>
  </si>
  <si>
    <t>Я помогаю команде сфокусироваться на главном и направляю наши усилия на то, чтобы цели были достигнуты в срок, несмотря на возникшие сложности</t>
  </si>
  <si>
    <t>Я собираю команду для открытого обсуждения проблем, чтобы снять эмоциональное напряжение и вместе обсудить возникшие трудности</t>
  </si>
  <si>
    <t>Я вдохновляю команду на поиск нестандартных решений и своим примером показываю, как преодолеть возникшие трудности</t>
  </si>
  <si>
    <t>Я ищу "узкие места", которые привели к ошибке, в процессах,  чтобы устранить системный барьер и не допустить повторения инцидента в будущем</t>
  </si>
  <si>
    <t>Достигать невозможные, на первый взгляд, результаты для клиентов и заказчиков</t>
  </si>
  <si>
    <t>Доброжелательный микроклимат в команде</t>
  </si>
  <si>
    <t/>
  </si>
  <si>
    <t>Я продвигаю идеи коллег, создавая для них возможности развития</t>
  </si>
  <si>
    <t>Четкие и амбициозные цели, приносящие ценность компании</t>
  </si>
  <si>
    <t>Прозрачность в бизнес-процессах и регламентах</t>
  </si>
  <si>
    <t>Я проверяю идеи на соответствие принятым стандартам и реализуемость</t>
  </si>
  <si>
    <t>Я задаю амбициозные цели и помогаю команде создавать результат, приносящий ценность клиенту и обществу</t>
  </si>
  <si>
    <t>Рост и развитие сотрудников в команде</t>
  </si>
  <si>
    <t>Я создаю и поддерживаю в команде атмосферу взаимопомощи, уважения и доброжелательного общения</t>
  </si>
  <si>
    <t>Я создаю условия для развития и раскрытия потенциала сотрудников, воодушевляя личным примером</t>
  </si>
  <si>
    <t>Выступаю перед командой и более широким кругом лиц, мотивируя на новые достижения</t>
  </si>
  <si>
    <t>Публичное признание успеха моей команды как способ поддержать их мотивацию и развитие</t>
  </si>
  <si>
    <t>Я могу быть настолько увлечён развитием людей и вдохновением, что упускаю контроль результатов</t>
  </si>
  <si>
    <t>Достижение сверхцелей и всех показателей, которые принесут пользу компании и коллегам</t>
  </si>
  <si>
    <t>Сплоченность и партнерство в команде, в которой не страшно говорить о недочетах</t>
  </si>
  <si>
    <t>Я транслирую связь задач с ценностью для клиента и общества, помогая команде прийти к лучшему результату</t>
  </si>
  <si>
    <t>Что окружающие прощают вам как лидеру?</t>
  </si>
  <si>
    <t>Излишнюю мягкость, т.к я создаю комфортную среду для командной работы</t>
  </si>
  <si>
    <t>Эмоциональность, т.к мне важно вдохновить других</t>
  </si>
  <si>
    <t>Я задаю пример стремления к развитию и создаю условия для освоения нового</t>
  </si>
  <si>
    <t>Я систематизирую задачи, выстраиваю четкие алгоритмы и регламенты для их выполнения</t>
  </si>
  <si>
    <t>Я контролирую ключевые показатели, четко слежу за достижением результата</t>
  </si>
  <si>
    <t>Я распределяю задачи, чтобы каждый чувствовал свою значимость, и поощряю взаимовыручку в команде</t>
  </si>
  <si>
    <t>Перемешиваем варианты ответов</t>
  </si>
  <si>
    <t>Ведущий стиль:</t>
  </si>
  <si>
    <t>Таблица подсчета результатов</t>
  </si>
  <si>
    <t>максимальное кол-во баллов, к-ое можно набрать по одному стилю и вообще -98</t>
  </si>
  <si>
    <t>A</t>
  </si>
  <si>
    <t>C</t>
  </si>
  <si>
    <t>проверка</t>
  </si>
  <si>
    <t>B</t>
  </si>
  <si>
    <t>D</t>
  </si>
  <si>
    <t>Второй близкий стиль (если разница &lt;=5):</t>
  </si>
  <si>
    <t>StyleIdx</t>
  </si>
  <si>
    <t>блоки</t>
  </si>
  <si>
    <t>Разница баллов:</t>
  </si>
  <si>
    <t>А- «Целеустременный»</t>
  </si>
  <si>
    <t>Сумма баллов по стилю</t>
  </si>
  <si>
    <t>С- «Командый»</t>
  </si>
  <si>
    <t>В- «Вдохновлящий»</t>
  </si>
  <si>
    <t>D- «Процессный»</t>
  </si>
  <si>
    <t>Об отчете</t>
  </si>
  <si>
    <t>Об инструменте</t>
  </si>
  <si>
    <t>Стиль "Целеустремленный"</t>
  </si>
  <si>
    <t>Стиль "Командный"</t>
  </si>
  <si>
    <t>Стиль "Вдохновляющий"</t>
  </si>
  <si>
    <t>Стиль "Процессный"</t>
  </si>
  <si>
    <t>Как мне повывить человекоцентричность в моей команде</t>
  </si>
  <si>
    <t>Рекомендации по развитию стиля "Процессный"</t>
  </si>
  <si>
    <t>Рекомендации по развитию, если ведущий стиль "Целеустременный"</t>
  </si>
  <si>
    <t>Рекомендации по развитию стиля "Командный"</t>
  </si>
  <si>
    <t>Рекомендации по развитию стиля "Вдохновляющий"</t>
  </si>
  <si>
    <t>для системы, не выводим для пользователя</t>
  </si>
  <si>
    <t>Отчет по тесту «Определение ведущего стиля человекоцентричного лидерства»</t>
  </si>
  <si>
    <t>🤝 Командный</t>
  </si>
  <si>
    <t>Блок 4. Рекомендации по развитию вашего ведущего стиля</t>
  </si>
  <si>
    <t>⚙️ Процессный</t>
  </si>
  <si>
    <t>Стиль</t>
  </si>
  <si>
    <t>Баллы</t>
  </si>
  <si>
    <t>Блок 1. Описание об отчёте и об инструменте</t>
  </si>
  <si>
    <t>Блок 2. Ваши результаты</t>
  </si>
  <si>
    <t>Блок 3. Познакомьтесь с другими стилями человекоцентричного лидерства</t>
  </si>
  <si>
    <t>Краткие характеристики ниже. Полное описание раскрывается кнопкой + слева от сгруппированных строк.</t>
  </si>
  <si>
    <t>🎯 Целеустремленный</t>
  </si>
  <si>
    <t>✨ Вдохновляющий</t>
  </si>
  <si>
    <t>▼ Подробнее</t>
  </si>
  <si>
    <t>Отчёт по тесту «Определение ведущего стиля человекоцентричного лидерства»</t>
  </si>
  <si>
    <t>Как мне повысить человекоцентричность в моей команде?</t>
  </si>
  <si>
    <t>Об отчёте</t>
  </si>
  <si>
    <t>Ваши результаты</t>
  </si>
  <si>
    <t>Ознакомьтесь с описанием других стилей</t>
  </si>
  <si>
    <t>Ниже — характеристики трёх стилей, отличных от вашего ведущего. Нажмите ссылку «Полное описание стиля» — откроется лист с характеристиками.</t>
  </si>
  <si>
    <t>баллов</t>
  </si>
  <si>
    <t>Описание вашего ведущего стиля</t>
  </si>
  <si>
    <t>надо секторную диаграмму, он не делает в эксель, сделаем в другом формате</t>
  </si>
  <si>
    <t>1. Блок 1: Источник ценности (Вклад)</t>
  </si>
  <si>
    <t>Задача: Понять стиль «стыковки» с другими. Как вы встраиваетесь в текущую структуру?</t>
  </si>
  <si>
    <t>Задача: Описать ваши механизмы достижения целей.</t>
  </si>
  <si>
    <t>Смысл: Белбин утверждал, что у каждого специалиста есть «допустимые слабости». Этот блок показывает: чем вы готовы пожертвовать, чтобы ваша главная роль проявилась? Например, если вы гениальный «Мыслитель», вы можете быть рассеянным. Без признания этой слабости команда не сможет вас «подстраховать».</t>
  </si>
  <si>
    <t>3. Блок 3: Интеграция (Взаимодействие с коллегами)</t>
  </si>
  <si>
    <t>6. Блок 6: Отношение к другим (Реакция на вклад партнеров)</t>
  </si>
  <si>
    <t>Смысл: Работа команды – это всегда трение. Этот блок показывает, являетесь ли вы тем, кто сглаживает углы, или тем, кто эти углы создает для прогресса. Это про стиль коммуникации «здесь и сейчас».</t>
  </si>
  <si>
    <t>Смысл: Это «operational mode». Когда проект запущен, как вы лично его ведете? Вы следуете методологии? Ищете креативные обходные пути? Или просто давите авторитетом, чтобы работа была сделана? Здесь проверяется ваша операционная эффективность.</t>
  </si>
  <si>
    <t>Задача: Оценка «внешнего контура» команды.</t>
  </si>
  <si>
    <t>Задача: Определить «точку входа». Что человек приносит в команду в момент создания проекта?</t>
  </si>
  <si>
    <t>2. Блок 2: Оборотная сторона медали (Слабости / Ограничения)</t>
  </si>
  <si>
    <t>7. Блок 7: Финализация (Результативность в работе)</t>
  </si>
  <si>
    <t>Задача: Определить, что вас «заряжает» в командной игре.</t>
  </si>
  <si>
    <t>Смысл: Проект невозможно сделать в одиночку. Этот блок проверяет, как вы реагируете на предложения коллег. Вы подхватываете идеи? Ищите в них изъяны? Или стараетесь «присвоить» их своей экспертизе? Это маркер вашей способности к коллаборации.</t>
  </si>
  <si>
    <t>5. Блок 5: Мотивация (Внутренние стимулы)</t>
  </si>
  <si>
    <t>Смысл: Здесь выявляется, какой ресурс вы даете первым. Это «аванс» команды. Кто-то заходит с идеями, кто-то с организаторскими способностями, а кто-то — с готовностью работать «в полях».</t>
  </si>
  <si>
    <t>4. Блок 4: Рабочий стиль (Поведение в процессе)</t>
  </si>
  <si>
    <t>Смысл: Команда может буксовать. Этот блок выявляет, что заставляет вас не бросить дело на полпути. Для одних это признание, для других — новизна задачи, для третьих — достижение конкретного результата. Это показатель «выносливости» вашего участия в цикле.</t>
  </si>
  <si>
    <t>Задача: Последний этап — «закрытие» задачи.</t>
  </si>
  <si>
    <t>Задача: Осознать «теневую сторону». У каждой сильной стороны есть цена.</t>
  </si>
  <si>
    <t>Смысл: Много команд отлично начинают, но не доводят дело до конца. Этот блок выявляет, есть ли у вас «финишная черта». Вы склонны доводить проект до идеала, бросать его как только смысл стал понятен, или постоянно проверять его на ошибки (контроль качества)?</t>
  </si>
  <si>
    <t>Распределите 7 баллов между 4 вариантами. Каждому из вариантов можно присвоить от 0 до 7 баллов. Чем больше баллов вы присваиваете варианту, тем точнее он описывает ваше обычное поведение. Одному утверждению можно отдать все 7 баллов.</t>
  </si>
  <si>
    <r>
      <t xml:space="preserve">Как работать с тестом? 
</t>
    </r>
    <r>
      <rPr>
        <sz val="11"/>
        <color theme="1"/>
        <rFont val="Calibri"/>
      </rPr>
      <t>Вам будет предложено 14 блоков. В каждом из блоков распределите 7 баллов между 4 вариантами. Каждому из вариантов можно присвоить от 0 до 7 баллов. Чем больше баллов вы присваиваете варианту, тем точнее он описывает ваше обычное поведение. Одному утверждению можно отдать все 7 баллов.</t>
    </r>
  </si>
  <si>
    <t>Я могу настаивать на соблюдении договорённостей и ясности правил, даже когда ситуация требует гибкости</t>
  </si>
  <si>
    <t>Я могу быть требовательным к срокам и результатам для клиента и компании, уделяя недостаточно внимания состоянию подчиненных</t>
  </si>
  <si>
    <t>Я могу тратить много времени на создание отношений в команде и откладывать трудные, непопулярные решения</t>
  </si>
  <si>
    <t>Я помогаю оценить идеи по их вкладу в прибыль\KPI и пользу для Общества</t>
  </si>
  <si>
    <t>Я создаю благоприятную атмосферу для открытого обсуждения идей в команде</t>
  </si>
  <si>
    <t>Анализирую качество выполнения задачи и то, какую ценность для клиента приносит результат</t>
  </si>
  <si>
    <t>Помогаю участникам услышать друг друга и договориться о совместной работе</t>
  </si>
  <si>
    <t>Проясняю роли, договоренности и порядок совместной работы</t>
  </si>
  <si>
    <t>При возникновении конфликтов в общих задачах вы чаще?</t>
  </si>
  <si>
    <t>Помогаю увидеть в разногласии новое решение, ведь конфликт часто становится отправной точкой к развитию</t>
  </si>
  <si>
    <t>Возвращаю обсуждение к общей цели, фактам, потребностям клиента, чтобы быстрее двигаться дальше</t>
  </si>
  <si>
    <t>Проясняю предмет разногласия и корректирую процесс так, чтобы проблема не повторилась</t>
  </si>
  <si>
    <t>Создание воспроизводимого подхода, который упростит выполнение похожих задач в будущем</t>
  </si>
  <si>
    <t>Как вы обычно действуете, когда понимаете, что команда отклоняется от цели?</t>
  </si>
  <si>
    <t>На анализе проблемы клиента/заказчика и быстрый переход к делу</t>
  </si>
  <si>
    <t>Что для вас наиболее важно в результатах работы вашей команды?</t>
  </si>
  <si>
    <t>На создании благоприятной командной атмосферы и взаимодействии</t>
  </si>
  <si>
    <t>На мотивации и развитии сотрудников</t>
  </si>
  <si>
    <t>На чем вы сосредоточитесь, если вам предложат решить сложную задачу с незнакомыми людьми?</t>
  </si>
  <si>
    <t>На создании структуры и порядка в работе и документообороте</t>
  </si>
  <si>
    <r>
      <t xml:space="preserve">Рекомендации по заполнению: 
</t>
    </r>
    <r>
      <rPr>
        <sz val="11"/>
        <color theme="1"/>
        <rFont val="Calibri"/>
      </rPr>
      <t>Следите за подсказками, они помогут верно распределить баллы. Если какой-то из блоков будет пропущен или превышено\не хватает баллов по блоку, система предложит к нему вернуться. В конце теста вы получите отчёт, в котором будет информация о вашем ведущем стиле человекоцентричного лидерства, его особенностях, а также рекомендации по усилению влияния за счёт вашего стиля. Также в отчёте вы сможете познакомиться с другими стилями.
Обратите внимание, в тесте нет правильных или неправильных вариантов. Постарайтесь отвечать открыто и честно, не раздумывая долго. Тест не ограничен по времени.</t>
    </r>
  </si>
  <si>
    <t>Я выстраиваю понятные и прозрачные процессы для работы, управлю договоренностями</t>
  </si>
  <si>
    <t>Я внимательно слушаю, поддерживаю уважительный диалог и доброжелательное общение в команде</t>
  </si>
  <si>
    <t>Я объясняю, как устроена работа в проекте, чтобы каждый понимал свою роль, договорённости и следующий шаг</t>
  </si>
  <si>
    <t>Я помогаю людям раскрыть возможности для роста и поверить в свой потенциал</t>
  </si>
  <si>
    <t>Как вы вкладываетесь в развитие идей других коллег?</t>
  </si>
  <si>
    <t>На чём вы делаете фокус, когда задача уже реализована?</t>
  </si>
  <si>
    <t xml:space="preserve">Делаю ретроспективу с командой, обсуждаю, как мы вместе можем усилиться </t>
  </si>
  <si>
    <t>Провожу аудит процессов (с которыми столкнулся), чтобы сделать их оптимальными</t>
  </si>
  <si>
    <t xml:space="preserve">Помогаю определить ожидаемый результат и ценность задачи для клиента </t>
  </si>
  <si>
    <t>В чем проявляется ваша ценность, когда команда приступает к новой задаче?</t>
  </si>
  <si>
    <t>В чем состоит ваш вклад в работу команды?</t>
  </si>
  <si>
    <t>Какие у вас недостатки как у лидера?</t>
  </si>
  <si>
    <t>В чём ваша ключевая роль, когда дело касается коммуникаций в команде и совместных задач?</t>
  </si>
  <si>
    <t>Каковы особенности вашего лидерского стиля в привычных рабочих процессах?</t>
  </si>
  <si>
    <t xml:space="preserve">Помогаю сотрудникам увидеть возможности для развития и поддерживаю инициативу </t>
  </si>
  <si>
    <t>Малую гибкость, так как я обеспечиваю соблюдение процессов и работу без ошибок</t>
  </si>
  <si>
    <t>Напористость в некоторых ситуациях, так как я сосредоточен на создании ценности для заказчиков и клиентов</t>
  </si>
  <si>
    <t>Что вас больше всего мотивирует в работе?</t>
  </si>
  <si>
    <t>Готово! Мы всё посчитали, ваш результат ниже.
Отчёт отображает результаты, полученные при прохождении теста. Тест предназначен для определения ведущего стиля, с помощью которого вы проявляете человеокцентричность. Цель отчета — выявить ваш наиболее предпочитаемый стиль и дать рекомендации по усилению человекоцентричной культуры в команде.
Ваш отчёт состоит из нескольких блоков:
- Введение
- Результаты
- Характеристика других стилей
- Рекомендации по развитию вашего стиля человекоцентричного лидерства</t>
  </si>
  <si>
    <t>Инструмент «Тест на определение ведущего стиля человекоцентричного лидерства» помогает понять, как вы создаёте осмысленную, тёплую и результативную рабочую среду для людей в вашей команде.
Тест построен на базе:
- Модели человекоцентричного лидерства в "Ростелекоме"
- Классической двухфакторой модели руководства  Ренсиса Лайкерта ("Фокус на людей" и "Фокус на задачи")
- Теории контекстов взаимодействия в команде Рэймонда Белбина
Человекоцентричное лидерство — это подход к управлению, где в центре решений и внимания лидера всегда человек: сотрудник, коллега, клиент, партнёр.
Модель человекоцентричного лидерства опирается на четыре вектора: Культура, Лидер, Процессы и практики, Стратегия, и каждому вектору соответствует свой стиль лидерства.
Важно: тест не измеряет «уровень» или «индекс» человекоцентричности и не даёт оценочного вердикта. Его задача — помочь лидеру лучше понять особенности своего стиля управления и увидеть, в каких ситуациях этот стиль наиболее эффективен, а где полезно подключать другие подходы.</t>
  </si>
  <si>
    <r>
      <rPr>
        <sz val="11"/>
        <color theme="1"/>
        <rFont val="Calibri"/>
        <family val="2"/>
      </rPr>
      <t xml:space="preserve">Стиль ориентирован на развитие людей. Вектор в модели человекоцентричности — Лидер. Приоритеты — раскрытие потенциала, создание условий для роста, возможности для профессионального и личностного развития. Вдохновляющий лидер проявляет человекоцентричность через развитие и мотивацию других: он видит потенциал сотрудников, создаёт условия для обучения и роста, даёт амбициозные задачи и поддерживает траекторию развития.
</t>
    </r>
    <r>
      <rPr>
        <b/>
        <sz val="11"/>
        <color theme="1"/>
        <rFont val="Calibri"/>
        <family val="2"/>
      </rPr>
      <t>Сильные стороны:</t>
    </r>
    <r>
      <rPr>
        <sz val="11"/>
        <color theme="1"/>
        <rFont val="Calibri"/>
        <family val="2"/>
      </rPr>
      <t xml:space="preserve">
•	Создание условий для раскрытия потенциала сотрудников;
•	Возможности для роста и обучения;
•	Мотивация через смысл и личный пример развития;
•	Формирование амбициозного видения «кем мы можем стать».
</t>
    </r>
    <r>
      <rPr>
        <b/>
        <sz val="11"/>
        <color theme="1"/>
        <rFont val="Calibri"/>
        <family val="2"/>
      </rPr>
      <t xml:space="preserve">Как стиль влияет на человекоцентричную культуру в Ростелекоме?
</t>
    </r>
    <r>
      <rPr>
        <sz val="11"/>
        <color theme="1"/>
        <rFont val="Calibri"/>
        <family val="2"/>
      </rPr>
      <t xml:space="preserve">Ваш ведущий стиль укрепляет культуру непрерывного развития и веры в потенциал людей. Лидер показывает, что Ростелеком инвестирует в человека: даёт задачи для роста, обратную связь, наставничество. Вдохновляющий стиль наполняет работу команды пониманием своих возможностей для профессионального и карьерного роста.
</t>
    </r>
    <r>
      <rPr>
        <b/>
        <sz val="11"/>
        <color theme="1"/>
        <rFont val="Calibri"/>
        <family val="2"/>
      </rPr>
      <t>Ваш стиль человекоцентричности эффективен, если:</t>
    </r>
    <r>
      <rPr>
        <sz val="11"/>
        <color theme="1"/>
        <rFont val="Calibri"/>
        <family val="2"/>
      </rPr>
      <t xml:space="preserve">
•	сотрудникам нужны задачи для роста, обратная связь и условия для раскрытия потенциала;
•	важен личный пример лидера и амбициозное видение;
•	формируется новая команда и нужно заложить культуру наставничества и развития;
•	необходимо создать пространство для обучения, освоения новых компетенций для профессионального/карьерного роста.
</t>
    </r>
    <r>
      <rPr>
        <b/>
        <sz val="11"/>
        <color theme="1"/>
        <rFont val="Calibri"/>
        <family val="2"/>
      </rPr>
      <t>Ваш стиль человекоцентричности менее эффективен, если:</t>
    </r>
    <r>
      <rPr>
        <sz val="11"/>
        <color theme="1"/>
        <rFont val="Calibri"/>
        <family val="2"/>
      </rPr>
      <t xml:space="preserve">
•	стоят жёсткие сроки и есть необходимость чёткого операционного контроля;
•	нужны прозрачные договорённости, роли и предсказуемость бизнес-процессов;
•	нужны системные правила и фокус на оптимизацию процессов.</t>
    </r>
  </si>
  <si>
    <r>
      <t xml:space="preserve">Стиль ориентирован на результат и создание ценности для клиентов. В модели человекоцентричности ему соответствует вектор «Стратегия». Приоритеты лидера — цели, достижения, своевременные решения, ценность для клиента и общества. Целеустремлённый лидер проявляет человекоцентричность через ясность целей и достижение результата, который приносит пользу клиенту и компании. Такой лидер фокусируется на показателях, контроле выполнения задач и достижении оговорённого результата. 
</t>
    </r>
    <r>
      <rPr>
        <b/>
        <sz val="11"/>
        <color theme="1"/>
        <rFont val="Calibri"/>
        <family val="2"/>
      </rPr>
      <t>Сильные стороны</t>
    </r>
    <r>
      <rPr>
        <sz val="11"/>
        <color theme="1"/>
        <rFont val="Calibri"/>
        <family val="2"/>
      </rPr>
      <t xml:space="preserve">
•	Ориентация на ценность для клиента и общества.
•	Быстрые и качественные решения в условиях неопределённости.
•	Умение удерживать фокус и выделять приоритеты.
•	Ясность целей и измеримый результат.
</t>
    </r>
    <r>
      <rPr>
        <b/>
        <sz val="11"/>
        <color theme="1"/>
        <rFont val="Calibri"/>
        <family val="2"/>
      </rPr>
      <t>Как стиль влияет на человекоцентричную культуру в Ростелекоме?</t>
    </r>
    <r>
      <rPr>
        <sz val="11"/>
        <color theme="1"/>
        <rFont val="Calibri"/>
        <family val="2"/>
      </rPr>
      <t xml:space="preserve">
Ваш ведущий стиль формирует культуру ответственности за результат и осмысленной работы «не ради цифры, а ради пользы». Лидер показывает связь задач команды с ценностью для клиента и бизнеса, даёт ясные ориентиры, понятные показатели, чёткие планы и синхронизирует работу команды с тем, какую пользу она приносит компании и клиентам.
</t>
    </r>
    <r>
      <rPr>
        <b/>
        <sz val="11"/>
        <color theme="1"/>
        <rFont val="Calibri"/>
        <family val="2"/>
      </rPr>
      <t xml:space="preserve">
Ваш стиль человекоцентричности особенно эффективен, если:</t>
    </r>
    <r>
      <rPr>
        <sz val="11"/>
        <color theme="1"/>
        <rFont val="Calibri"/>
        <family val="2"/>
      </rPr>
      <t xml:space="preserve">
•	нужно быстро принять решение и сфокусировать команду на приоритетах в условиях неопределённости;
•	команде важно понять, как её работа создаёт ценность для клиента и бизнеса, в том числе в долгосрочной перспективе;
•	в команде много задач и проектов и нужна ясность целей, сроков и измеримого результата;
•	возник риск нарушения сроков и нужно оперативно перераспределить нагрузку, сохраняя качество решений.
</t>
    </r>
    <r>
      <rPr>
        <b/>
        <sz val="11"/>
        <color theme="1"/>
        <rFont val="Calibri"/>
        <family val="2"/>
      </rPr>
      <t>Ваш стиль человекоцентричности менее эффективен, если:</t>
    </r>
    <r>
      <rPr>
        <sz val="11"/>
        <color theme="1"/>
        <rFont val="Calibri"/>
        <family val="2"/>
      </rPr>
      <t xml:space="preserve">
•	важно сфокусироваться на построении отношений и взаимопонимания внутри команды;
•	требуется пересмотреть и упростить бизнес-процессы;
•	команде нужно выделить время и ресурс на индивидуальные траектории развития компетенций.</t>
    </r>
  </si>
  <si>
    <r>
      <rPr>
        <sz val="11"/>
        <color theme="1"/>
        <rFont val="Calibri"/>
        <family val="2"/>
      </rPr>
      <t xml:space="preserve">Стиль ориентирован на команду и культуру взаимодействия. Вектор в модели человекоцентричности — Культура. Приоритеты — доброжелательное общение, уважительная коммуникация, культура взаимопомощи, ролевая модель корпоративной культуры. Командный лидер проявляет человекоцентричность через то, как команда общается и поддерживает друг друга: он демонстрирует уважительный диалог, тактичность и вежливость в общении, готовность помочь и быть опорой. Он — ролевая модель корпоративной культуры: показывает на своём примере, как принято общаться, договариваться и взаимодействовать в компании.
</t>
    </r>
    <r>
      <rPr>
        <b/>
        <sz val="11"/>
        <color theme="1"/>
        <rFont val="Calibri"/>
        <family val="2"/>
      </rPr>
      <t>Сильные стороны:</t>
    </r>
    <r>
      <rPr>
        <sz val="11"/>
        <color theme="1"/>
        <rFont val="Calibri"/>
        <family val="2"/>
      </rPr>
      <t xml:space="preserve">
•	Доброжелательная культура общения;
•	Уважительная коммуникация и конструктивная обратная связь;
•	Культура взаимопомощи и создание психологической безопасности;
•	Ролевая модель корпоративных ценностей в ежедневном поведении.
</t>
    </r>
    <r>
      <rPr>
        <b/>
        <sz val="11"/>
        <color theme="1"/>
        <rFont val="Calibri"/>
        <family val="2"/>
      </rPr>
      <t>Как стиль влияет на человекоцентричную культуру в Ростелекоме?</t>
    </r>
    <r>
      <rPr>
        <sz val="11"/>
        <color theme="1"/>
        <rFont val="Calibri"/>
        <family val="2"/>
      </rPr>
      <t xml:space="preserve">
Ваш ведущий стиль задаёт «тон общения» в команде и вокруг неё: люди чувствуют, что их слышат, к ним относятся с уважением, можно просить помощи. Лидер укрепляет человекоцентричность через живое воплощение культуры Ростелекома — не через декларирование, а ежедневные взаимодействия.
</t>
    </r>
    <r>
      <rPr>
        <b/>
        <sz val="11"/>
        <color theme="1"/>
        <rFont val="Calibri"/>
        <family val="2"/>
      </rPr>
      <t>Ваш стиль человекоцентричности эффективен, если:</t>
    </r>
    <r>
      <rPr>
        <sz val="11"/>
        <color theme="1"/>
        <rFont val="Calibri"/>
        <family val="2"/>
      </rPr>
      <t xml:space="preserve">
•	команде важен уважительный диалог, тактичность и взаимопомощь;
•	людям нужен медиатор или фасилитатор для достижения договорённостей;
•	необходимо адаптировать новых сотрудников, обеспечить комфортную среду, поддержку и «опору».
</t>
    </r>
    <r>
      <rPr>
        <b/>
        <sz val="11"/>
        <color theme="1"/>
        <rFont val="Calibri"/>
        <family val="2"/>
      </rPr>
      <t>Ваш стиль человекоцентричности менее эффективен, если:</t>
    </r>
    <r>
      <rPr>
        <sz val="11"/>
        <color theme="1"/>
        <rFont val="Calibri"/>
        <family val="2"/>
      </rPr>
      <t xml:space="preserve">
•	нужно быстро принять непопулярное решение;
•	требуется достижение амбициозных результатов в короткие сроки, нужно снять барьеры в процессах;
•	команде важен профессиональный вызов или внедрение инноваций.</t>
    </r>
  </si>
  <si>
    <r>
      <rPr>
        <sz val="11"/>
        <color theme="1"/>
        <rFont val="Calibri"/>
        <family val="2"/>
      </rPr>
      <t xml:space="preserve">Стиль ориентирован на организацию работы. Вектор в модели человекоцентричности — Процессы и практики. Приоритеты — прозрачность, понятные договорённости, устранение барьеров, предсказуемость. Процессный лидер проявляет человекоцентричность через удобную и понятную среду работы: он выстраивает правила взаимодействия, убирает лишние препятствия и создаёт условия, в которых сотрудник может сосредоточиться на задаче. Основная цель — обеспечить максимальную эффективность через отлаженный и структурированный подход, делая акцент на том, чтобы процессы помогали людям, а не мешали им.
</t>
    </r>
    <r>
      <rPr>
        <b/>
        <sz val="11"/>
        <color theme="1"/>
        <rFont val="Calibri"/>
        <family val="2"/>
      </rPr>
      <t>Сильные стороны:</t>
    </r>
    <r>
      <rPr>
        <sz val="11"/>
        <color theme="1"/>
        <rFont val="Calibri"/>
        <family val="2"/>
      </rPr>
      <t xml:space="preserve">
•	Прозрачность и предсказуемость в работе;
•	Устранение организационных барьеров;
•	Оптимизация взаимодействий между людьми и подразделениями;
•	Снижение неопределённости «как договориться и что делать».
</t>
    </r>
    <r>
      <rPr>
        <b/>
        <sz val="11"/>
        <color theme="1"/>
        <rFont val="Calibri"/>
        <family val="2"/>
      </rPr>
      <t>Как стиль влияет на культуру в Ростелекоме:</t>
    </r>
    <r>
      <rPr>
        <sz val="11"/>
        <color theme="1"/>
        <rFont val="Calibri"/>
        <family val="2"/>
      </rPr>
      <t xml:space="preserve">
Ваш ведущий стиль формирует культуру уважения к времени и усилиям людей: меньше хаоса, больше ясности. Лидер показывает, что человекоцентричность — это не бюрократия, а продуманная и организованная среда, где каждый понимает свою роль и может эффективно работать.
</t>
    </r>
    <r>
      <rPr>
        <b/>
        <sz val="11"/>
        <color theme="1"/>
        <rFont val="Calibri"/>
        <family val="2"/>
      </rPr>
      <t>Ваш стиль человекоцентричности эффективен в ситуациях, если:</t>
    </r>
    <r>
      <rPr>
        <sz val="11"/>
        <color theme="1"/>
        <rFont val="Calibri"/>
        <family val="2"/>
      </rPr>
      <t xml:space="preserve">
•	команде нужны прозрачность и предсказуемость работы;
•	масштабируется типовая работа и важен понятный, воспроизводимый способ действий;
•	необходимо упрощение процессов и чёткость ролей и зон ответственности.
</t>
    </r>
    <r>
      <rPr>
        <b/>
        <sz val="11"/>
        <color theme="1"/>
        <rFont val="Calibri"/>
        <family val="2"/>
      </rPr>
      <t>Ваш стиль человекоцентричности менее эффективен в ситуациях, если:</t>
    </r>
    <r>
      <rPr>
        <sz val="11"/>
        <color theme="1"/>
        <rFont val="Calibri"/>
        <family val="2"/>
      </rPr>
      <t xml:space="preserve">
•	требуется фокус на инновации и эксперименты;
•	нужно сосредоточиться на построении доверительной атмосферы и взаимопонимания между сотрудниками;
•	команде не хватает мотивации и индивидуального подхода к развитию.</t>
    </r>
  </si>
  <si>
    <r>
      <t xml:space="preserve">Попробуйте расширить набор инструментов лидера: оставить фокус на создании ценности для клиента и бизнеса, но укрепить команду через понимание людей, их мотивации, раскрытия потенциала, усиление эффективности процессов. Для этого:
</t>
    </r>
    <r>
      <rPr>
        <b/>
        <sz val="11"/>
        <color theme="1"/>
        <rFont val="Calibri"/>
        <family val="2"/>
        <charset val="204"/>
      </rPr>
      <t xml:space="preserve">Узнайте больше о своей команде:
</t>
    </r>
    <r>
      <rPr>
        <sz val="11"/>
        <color theme="1"/>
        <rFont val="Calibri"/>
        <family val="2"/>
        <charset val="204"/>
      </rPr>
      <t xml:space="preserve">• Проведите индивидуальные беседы: понимает ли каждый сотрудник, как его работа влияет на клиента и компанию, или видит только свои КПЭ/MBO.
• Спросите, где темп решений и многозадачность помогают, а где создают перегруз и снижают качество.
• Соберите обратную связь: достаточно ли в команде уважительного общения и взаимопомощи, а также условий для роста.
• Проанализируйте, где "размытость" ролей и лишние барьеры мешают людям достигать результата.
</t>
    </r>
    <r>
      <rPr>
        <b/>
        <sz val="11"/>
        <color theme="1"/>
        <rFont val="Calibri"/>
        <family val="2"/>
        <charset val="204"/>
      </rPr>
      <t xml:space="preserve">Внедряйте в практику и делайте чаще:
</t>
    </r>
    <r>
      <rPr>
        <sz val="11"/>
        <color theme="1"/>
        <rFont val="Calibri"/>
        <family val="2"/>
        <charset val="204"/>
      </rPr>
      <t xml:space="preserve">• В начале задач формулируйте связку: «Для кого мы это делаем: клиент, компания, команда» — не только KPI.
• На командных встречах совмещайте приоритеты и решения с тем, как команда помогает друг другу.
• Давайте сотрудникам задачи на развитие и обратную связь о зонах роста, а не только о цифрах и результатах.
• Упрощайте согласования и убирайте лишние шаги на пути к результату.
• Признавайте личный вклад сотрудников в ценность для клиента, а не только выполнение плана.
</t>
    </r>
    <r>
      <rPr>
        <b/>
        <sz val="11"/>
        <color theme="1"/>
        <rFont val="Calibri"/>
        <family val="2"/>
        <charset val="204"/>
      </rPr>
      <t xml:space="preserve">Закрепите изменения и дополните свой стиль:
</t>
    </r>
    <r>
      <rPr>
        <sz val="11"/>
        <color theme="1"/>
        <rFont val="Calibri"/>
        <family val="2"/>
        <charset val="204"/>
      </rPr>
      <t>• Развивайте культуру уважительной обратной связи — результат не отменяет важность отношений.
• Обсудите вместе с сотрудниками их индивидуальные траектории развития компетенций: в чём их сильные стороны, а какие навыки можно усилить.
• Регулярно пересматривайте «узкие места» процессов, которые мешают людям работать эффективно.</t>
    </r>
  </si>
  <si>
    <r>
      <t xml:space="preserve">Попробуйте расширить набор инструментов лидера: сохранить фокус на драйве и энергии руководителя, его стремлении развивать команду, но усилить управляемость через цели, контрольные точки и ясные бизнес-механизмы, а также фокус на создании команды как единого целого для более долгосрочной работы. Для этого:
</t>
    </r>
    <r>
      <rPr>
        <b/>
        <sz val="11"/>
        <color theme="1"/>
        <rFont val="Calibri"/>
        <family val="2"/>
        <charset val="204"/>
      </rPr>
      <t xml:space="preserve">Узнайте больше о своей команде:
</t>
    </r>
    <r>
      <rPr>
        <sz val="11"/>
        <color theme="1"/>
        <rFont val="Calibri"/>
        <family val="2"/>
        <charset val="204"/>
      </rPr>
      <t xml:space="preserve">• Составьте карту потенциала: кому нужен вызов, кому — поддержка, кому — структура, кому — больше времени на обучение.
• Уточните, видят ли сотрудники связь между их ростом и ценностью для клиента и бизнеса.
• Проверьте, есть ли понятные договорённости о целях, сроках и критериях успеха.
• Спросите, достаточно ли текущего уровня общения в команде — норма, которую вы поддерживаете. Комфортно ли сотрудникам работать в команде?
</t>
    </r>
    <r>
      <rPr>
        <b/>
        <sz val="11"/>
        <color theme="1"/>
        <rFont val="Calibri"/>
        <family val="2"/>
        <charset val="204"/>
      </rPr>
      <t xml:space="preserve">Внедряйте в практику и делайте чаще:
</t>
    </r>
    <r>
      <rPr>
        <sz val="11"/>
        <color theme="1"/>
        <rFont val="Calibri"/>
        <family val="2"/>
        <charset val="204"/>
      </rPr>
      <t xml:space="preserve">• Обсудите с сотрудниками их индивидуальные траектории развития: в чём их сильные стороны, а какие навыки можно усилить.
• Связывайте задачи на рост с реальной пользой для клиента и общества.
• Фиксируйте контрольные точки и критерии успеха по проектам.
• Делегируйте полномочия, а не только задачи.
• Проводите регулярную обратную связь о прогрессе развития.
</t>
    </r>
    <r>
      <rPr>
        <b/>
        <sz val="11"/>
        <color theme="1"/>
        <rFont val="Calibri"/>
        <family val="2"/>
        <charset val="204"/>
      </rPr>
      <t xml:space="preserve">Закрепите изменения и дополните свой стиль:
</t>
    </r>
    <r>
      <rPr>
        <sz val="11"/>
        <color theme="1"/>
        <rFont val="Calibri"/>
        <family val="2"/>
        <charset val="204"/>
      </rPr>
      <t xml:space="preserve">• Закрепите правило: «Развитие = задача + поддержка + измеримый результат».
• Раз в квартал обсуждайте: как наш рост влияет на клиента и компанию.
• Упростите правила взаимодействия там, где неясность мешает людям расти.
• Поддерживайте уважительный и доброжелательный тон общения в команде.
</t>
    </r>
  </si>
  <si>
    <r>
      <t xml:space="preserve">Попробуйте расширить набор инструментов лидера: сохранить фокус на команде и взаимоотношениях, но усилить управляемость через ясные роли, измеримые договоренности и контроль прогресса. Для этого:
</t>
    </r>
    <r>
      <rPr>
        <b/>
        <sz val="11"/>
        <color theme="1"/>
        <rFont val="Calibri"/>
        <family val="2"/>
        <charset val="204"/>
      </rPr>
      <t xml:space="preserve">Узнайте больше о своей команде:
</t>
    </r>
    <r>
      <rPr>
        <sz val="11"/>
        <color theme="1"/>
        <rFont val="Calibri"/>
        <family val="2"/>
        <charset val="204"/>
      </rPr>
      <t xml:space="preserve">• Спросите, понимает ли команда, какую ценность для клиента и компании создаёт их работа 
• Проверьте, зафиксированы ли договорённости о ролях, сроках и ответственности 
• Уточните, прозрачны и ясны ли для команды цели и процессы
</t>
    </r>
    <r>
      <rPr>
        <b/>
        <sz val="11"/>
        <color theme="1"/>
        <rFont val="Calibri"/>
        <family val="2"/>
        <charset val="204"/>
      </rPr>
      <t xml:space="preserve">Внедряйте в практику и делайте чаще:
</t>
    </r>
    <r>
      <rPr>
        <sz val="11"/>
        <color theme="1"/>
        <rFont val="Calibri"/>
        <family val="2"/>
        <charset val="204"/>
      </rPr>
      <t xml:space="preserve">• Продолжайте совершенствовать командные правила взаимодействия, например, о том, как даём обратную связь, как спорим, как просим помощи.
• На встречах больше обсуждайте, «какую ценность для клиента мы создаём».
• Фиксируйте решения письменно: кто, что, к какому сроку выполняет.
• В сложных ситуациях практикуйте не только уважительный, но и прямой разговор.
• Обозначайте личную ответственность сотрудников
</t>
    </r>
    <r>
      <rPr>
        <b/>
        <sz val="11"/>
        <color theme="1"/>
        <rFont val="Calibri"/>
        <family val="2"/>
        <charset val="204"/>
      </rPr>
      <t xml:space="preserve">Скорректируйте/ Закрепите изменения и дополните свой стиль:
</t>
    </r>
    <r>
      <rPr>
        <sz val="11"/>
        <color theme="1"/>
        <rFont val="Calibri"/>
        <family val="2"/>
        <charset val="204"/>
      </rPr>
      <t>• Закрепите норму: «Мы уважаем друг друга — и мы доводим до результата».
• Всегда сверяйтесь: создают ли ваши решения ценность для клиента и компании.
• Упростите лишние согласования.
• Введите в свою практику содействие сотрудникам в выборе вектора развития и формировании карьерной траектории.</t>
    </r>
  </si>
  <si>
    <r>
      <t xml:space="preserve">Попробуйте расширить набор инструментов лидера: сохранить фокус на процессах и эффективности, но усилить управляемость через создание доброжелательной и уважительной среды в команде, мотивацию, делегирование и развитие людей. Для этого:
</t>
    </r>
    <r>
      <rPr>
        <b/>
        <sz val="11"/>
        <color theme="1"/>
        <rFont val="Calibri"/>
        <family val="2"/>
        <charset val="204"/>
      </rPr>
      <t xml:space="preserve">Узнайте больше о своей команде:
</t>
    </r>
    <r>
      <rPr>
        <sz val="11"/>
        <color theme="1"/>
        <rFont val="Calibri"/>
        <charset val="1"/>
      </rPr>
      <t xml:space="preserve">• Соберите обратную связь, где процессы реально помогают, а где создают «трение».
• Выясните, видит ли команда связь своей работы с ценностью для клиента и компании.
• Оцените, достаточно ли уважительного общения и взаимопомощи.
• Узнайте, известны ли сотрудникам их возможности для роста, раскрывают ли они свой потенциал.
</t>
    </r>
    <r>
      <rPr>
        <b/>
        <sz val="11"/>
        <color theme="1"/>
        <rFont val="Calibri"/>
        <family val="2"/>
        <charset val="204"/>
      </rPr>
      <t xml:space="preserve">Внедряйте в практику и делайте чаще:
</t>
    </r>
    <r>
      <rPr>
        <sz val="11"/>
        <color theme="1"/>
        <rFont val="Calibri"/>
        <charset val="1"/>
      </rPr>
      <t xml:space="preserve">• Пересматривайте процессы: «Минимум правил — максимум ясности».
• При описании задач добавляйте, зачем это клиенту и бизнесу.
• Вовлекайте команду в совместное упрощение процессов.
• Поддерживайте уважительное общение в команде.
• Давайте сотрудникам задачи на развитие, помогайте им усиливать свои компетенции.
• В нестандартных ситуациях делайте пилоты и проводите эксперименты для проверки своих гипотез.
</t>
    </r>
    <r>
      <rPr>
        <b/>
        <sz val="11"/>
        <color theme="1"/>
        <rFont val="Calibri"/>
        <family val="2"/>
        <charset val="204"/>
      </rPr>
      <t xml:space="preserve">Скорректируйте/ Закрепите изменения и дополните свой стиль:
</t>
    </r>
    <r>
      <rPr>
        <sz val="11"/>
        <color theme="1"/>
        <rFont val="Calibri"/>
        <charset val="1"/>
      </rPr>
      <t xml:space="preserve">• Закрепите правило: «Процесс служит человеку — не наоборот».
• Развивайте культуру, в которой сотрудник не боится допускать ошибку.
• Связывайте изменения процессов с ценностью для клиента.
• Развивайте взаимопомощь и поддержку в команде.
• Поддерживайте индивидуальное развитие компетенций.
</t>
    </r>
  </si>
  <si>
    <t>При заполнении пользователем ячейки с баллами, подсвечивается кол-во оставшихся баллов из 7. Если участник пытается распределить больше, чем 7 баллов – всплывает сообщение «Необходимо распределить 7 баллов». Или "Вы использовали не все баллы", если он распределил меньше.</t>
  </si>
  <si>
    <r>
      <t xml:space="preserve">Тест помогает определить ваш стиль человекоцентричного лидерства — то, как вы создаёте осмысленную, тёплую и результативную рабочую среду для команды. Каждый лидер реализует человекоцентричность по‑своему — через один из четырёх стилей, которые опираются на четыре вектора модели: Культура, Лидер, Процессы и практики, Стратегия.
Тест расскажет больше о вашем стиле лидерства и его особенностях.
Опросник не направлен на оценку уровня\индекса человекоцентричности и не оценивает качество вашего лидерства.
Данный тест является инструментом самодиагностики.
</t>
    </r>
    <r>
      <rPr>
        <b/>
        <sz val="11"/>
        <color theme="1"/>
        <rFont val="Calibri"/>
        <family val="2"/>
      </rPr>
      <t>Тест поможет:</t>
    </r>
    <r>
      <rPr>
        <sz val="11"/>
        <color theme="1"/>
        <rFont val="Calibri"/>
        <family val="2"/>
      </rPr>
      <t xml:space="preserve">
- Узнать, какой стиль человекоцентричного лидерства вам ближе и как он проявляется в вашей работе.
- Понять, в каких ситуациях ваш стиль наиболее эффективен, а где стоит использовать другие подходы.
- Получить рекомендации по развитию вашего стиля, чтобы усилить влияние на команду и компанию.
По итогам теста вы получите персонализированный отчёт.
</t>
    </r>
    <r>
      <rPr>
        <b/>
        <sz val="11"/>
        <color theme="1"/>
        <rFont val="Calibri"/>
        <family val="2"/>
      </rPr>
      <t xml:space="preserve">Почему результатам можно верить?
</t>
    </r>
    <r>
      <rPr>
        <sz val="11"/>
        <color theme="1"/>
        <rFont val="Calibri"/>
        <family val="2"/>
      </rPr>
      <t>Тест разработан командой сертифицированных асессоров "Ростелекома" на базе:
- Модели человекоцентричного лидерства в "Ростелекоме"
- Классической двухфакторой модели руководства  Ренсиса Лайкерта ("Фокус на людей" и "Фокус на задачи")
- Теории контекстов взаимодействия в команде Рэймонда Белбина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</si>
</sst>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name val="Calibri"/>
    </font>
    <font>
      <b/>
      <sz val="11"/>
      <color theme="1"/>
      <name val="Calibri"/>
    </font>
    <font>
      <sz val="11"/>
      <color theme="1"/>
      <name val="Calibri"/>
    </font>
    <font>
      <sz val="11"/>
      <color rgb="FFFF0000"/>
      <name val="Calibri"/>
    </font>
    <font>
      <sz val="11"/>
      <color theme="1"/>
      <name val="Calibri"/>
    </font>
    <font>
      <i/>
      <sz val="11"/>
      <color theme="1"/>
      <name val="Calibri"/>
    </font>
    <font>
      <sz val="11"/>
      <name val="Calibri"/>
    </font>
    <font>
      <b/>
      <sz val="14"/>
      <color theme="1"/>
      <name val="Calibri"/>
    </font>
    <font>
      <sz val="10"/>
      <color rgb="FFFF0000"/>
      <name val="Calibri"/>
    </font>
    <font>
      <vertAlign val="subscript"/>
      <sz val="11"/>
      <color theme="1"/>
      <name val="Calibri"/>
    </font>
    <font>
      <sz val="8"/>
      <color rgb="FF000000"/>
      <name val="Calibri"/>
    </font>
    <font>
      <sz val="10"/>
      <color rgb="FF000000"/>
      <name val="Calibri"/>
    </font>
    <font>
      <sz val="18"/>
      <name val="Arial"/>
    </font>
    <font>
      <sz val="12"/>
      <color rgb="FF000000"/>
      <name val="Calibri"/>
    </font>
    <font>
      <sz val="9"/>
      <color theme="1"/>
      <name val="Calibri"/>
    </font>
    <font>
      <b/>
      <sz val="12"/>
      <color theme="1"/>
      <name val="Calibri"/>
    </font>
    <font>
      <sz val="8"/>
      <color rgb="FFFF0000"/>
      <name val="Calibri"/>
    </font>
    <font>
      <sz val="8"/>
      <color theme="1"/>
      <name val="Calibri"/>
    </font>
    <font>
      <b/>
      <sz val="18"/>
      <color rgb="FF4A148C"/>
      <name val="Calibri"/>
    </font>
    <font>
      <b/>
      <sz val="11"/>
      <color rgb="FFFFFFFF"/>
      <name val="Calibri"/>
    </font>
    <font>
      <b/>
      <sz val="14"/>
      <color rgb="FFFFFFFF"/>
      <name val="Calibri"/>
    </font>
    <font>
      <b/>
      <sz val="13"/>
      <color rgb="FF4A148C"/>
      <name val="Calibri"/>
    </font>
    <font>
      <b/>
      <sz val="11"/>
      <color rgb="FFE65100"/>
      <name val="Calibri"/>
    </font>
    <font>
      <sz val="11"/>
      <color rgb="FF6A1B9A"/>
      <name val="Calibri"/>
    </font>
    <font>
      <b/>
      <sz val="11"/>
      <color rgb="FF00897B"/>
      <name val="Calibri"/>
    </font>
    <font>
      <b/>
      <sz val="11"/>
      <color rgb="FF6A1B9A"/>
      <name val="Calibri"/>
    </font>
    <font>
      <b/>
      <sz val="11"/>
      <color rgb="FF1565C0"/>
      <name val="Calibri"/>
    </font>
    <font>
      <b/>
      <sz val="18"/>
      <color rgb="FFFFFFFF"/>
      <name val="Calibri"/>
    </font>
    <font>
      <b/>
      <sz val="13"/>
      <color rgb="FFFFFFFF"/>
      <name val="Calibri"/>
    </font>
    <font>
      <i/>
      <sz val="10"/>
      <color theme="1"/>
      <name val="Calibri"/>
    </font>
    <font>
      <b/>
      <u/>
      <sz val="11"/>
      <color rgb="FF6A1B9A"/>
      <name val="Calibri"/>
    </font>
    <font>
      <b/>
      <sz val="24"/>
      <color theme="1"/>
      <name val="Calibri"/>
    </font>
    <font>
      <b/>
      <sz val="14"/>
      <color rgb="FF4A148C"/>
      <name val="Calibri"/>
    </font>
    <font>
      <sz val="13.5"/>
      <color rgb="FF121212"/>
      <name val="Arial"/>
    </font>
    <font>
      <b/>
      <sz val="12"/>
      <color rgb="FF121212"/>
      <name val="Arial"/>
    </font>
    <font>
      <sz val="11"/>
      <color theme="1"/>
      <name val="Calibri"/>
      <family val="2"/>
      <charset val="204"/>
    </font>
    <font>
      <sz val="11"/>
      <name val="Calibri"/>
      <family val="2"/>
      <charset val="204"/>
    </font>
    <font>
      <b/>
      <sz val="11"/>
      <color theme="1"/>
      <name val="Calibri"/>
      <family val="2"/>
      <charset val="204"/>
    </font>
    <font>
      <sz val="11"/>
      <color theme="1"/>
      <name val="Calibri"/>
      <family val="2"/>
    </font>
    <font>
      <b/>
      <sz val="11"/>
      <color theme="1"/>
      <name val="Calibri"/>
      <family val="2"/>
    </font>
    <font>
      <sz val="11"/>
      <color theme="1"/>
      <name val="Calibri"/>
      <charset val="1"/>
    </font>
    <font>
      <sz val="11"/>
      <color rgb="FFFF0000"/>
      <name val="Calibri"/>
      <family val="2"/>
      <charset val="204"/>
    </font>
    <font>
      <sz val="10"/>
      <color rgb="FFFF0000"/>
      <name val="Calibri"/>
      <family val="2"/>
      <charset val="204"/>
    </font>
  </fonts>
  <fills count="19">
    <fill>
      <patternFill patternType="none"/>
    </fill>
    <fill>
      <patternFill patternType="gray125"/>
    </fill>
    <fill>
      <patternFill patternType="solid">
        <fgColor theme="0"/>
      </patternFill>
    </fill>
    <fill>
      <patternFill patternType="solid">
        <fgColor theme="8" tint="0.79989013336588644"/>
        <bgColor indexed="65"/>
      </patternFill>
    </fill>
    <fill>
      <patternFill patternType="solid">
        <fgColor theme="9" tint="0.79989013336588644"/>
        <bgColor indexed="65"/>
      </patternFill>
    </fill>
    <fill>
      <patternFill patternType="solid">
        <fgColor rgb="FFF8F8F8"/>
      </patternFill>
    </fill>
    <fill>
      <patternFill patternType="solid">
        <fgColor rgb="FFF5F0FA"/>
      </patternFill>
    </fill>
    <fill>
      <patternFill patternType="solid">
        <fgColor rgb="FF00897B"/>
      </patternFill>
    </fill>
    <fill>
      <patternFill patternType="solid">
        <fgColor rgb="FF4A148C"/>
      </patternFill>
    </fill>
    <fill>
      <patternFill patternType="solid">
        <fgColor rgb="FF1565C0"/>
      </patternFill>
    </fill>
    <fill>
      <patternFill patternType="solid">
        <fgColor rgb="FFE65100"/>
      </patternFill>
    </fill>
    <fill>
      <patternFill patternType="solid">
        <fgColor rgb="FF6A1B9A"/>
      </patternFill>
    </fill>
    <fill>
      <patternFill patternType="solid">
        <fgColor rgb="FFECECEC"/>
      </patternFill>
    </fill>
    <fill>
      <patternFill patternType="solid">
        <fgColor rgb="FFE1D7F0"/>
      </patternFill>
    </fill>
    <fill>
      <patternFill patternType="solid">
        <fgColor rgb="FFC62828"/>
      </patternFill>
    </fill>
    <fill>
      <patternFill patternType="solid">
        <fgColor rgb="FF388E3C"/>
      </patternFill>
    </fill>
    <fill>
      <patternFill patternType="solid">
        <fgColor rgb="FFEF6C00"/>
      </patternFill>
    </fill>
    <fill>
      <patternFill patternType="solid">
        <fgColor theme="8" tint="0.79998168889431442"/>
        <bgColor indexed="64"/>
      </patternFill>
    </fill>
    <fill>
      <patternFill patternType="solid">
        <fgColor theme="0"/>
        <bgColor rgb="FFF8F8F8"/>
      </patternFill>
    </fill>
  </fills>
  <borders count="330">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style="medium">
        <color rgb="FF000000"/>
      </left>
      <right/>
      <top/>
      <bottom/>
      <diagonal/>
    </border>
    <border>
      <left style="medium">
        <color rgb="FF000000"/>
      </left>
      <right/>
      <top/>
      <bottom/>
      <diagonal/>
    </border>
    <border>
      <left style="medium">
        <color rgb="FF000000"/>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bottom/>
      <diagonal/>
    </border>
    <border>
      <left/>
      <right/>
      <top style="medium">
        <color rgb="FF000000"/>
      </top>
      <bottom/>
      <diagonal/>
    </border>
    <border>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style="thin">
        <color rgb="FFE1D7F0"/>
      </top>
      <bottom style="thin">
        <color rgb="FFE1D7F0"/>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bottom/>
      <diagonal/>
    </border>
    <border>
      <left/>
      <right/>
      <top style="thin">
        <color rgb="FFE1D7F0"/>
      </top>
      <bottom/>
      <diagonal/>
    </border>
    <border>
      <left style="medium">
        <color rgb="FF000000"/>
      </left>
      <right/>
      <top/>
      <bottom style="thin">
        <color rgb="FFE1D7F0"/>
      </bottom>
      <diagonal/>
    </border>
    <border>
      <left/>
      <right style="medium">
        <color rgb="FF000000"/>
      </right>
      <top style="thin">
        <color rgb="FFE1D7F0"/>
      </top>
      <bottom/>
      <diagonal/>
    </border>
    <border>
      <left/>
      <right/>
      <top/>
      <bottom style="thin">
        <color rgb="FFE1D7F0"/>
      </bottom>
      <diagonal/>
    </border>
    <border>
      <left/>
      <right style="medium">
        <color rgb="FF000000"/>
      </right>
      <top/>
      <bottom/>
      <diagonal/>
    </border>
    <border>
      <left/>
      <right/>
      <top/>
      <bottom style="thin">
        <color rgb="FFE1D7F0"/>
      </bottom>
      <diagonal/>
    </border>
    <border>
      <left style="medium">
        <color rgb="FF000000"/>
      </left>
      <right style="medium">
        <color rgb="FF000000"/>
      </right>
      <top style="thin">
        <color rgb="FFE1D7F0"/>
      </top>
      <bottom style="medium">
        <color rgb="FF000000"/>
      </bottom>
      <diagonal/>
    </border>
    <border>
      <left/>
      <right/>
      <top/>
      <bottom style="thin">
        <color rgb="FFE1D7F0"/>
      </bottom>
      <diagonal/>
    </border>
    <border>
      <left/>
      <right/>
      <top style="thin">
        <color rgb="FFE1D7F0"/>
      </top>
      <bottom/>
      <diagonal/>
    </border>
    <border>
      <left style="medium">
        <color rgb="FF000000"/>
      </left>
      <right/>
      <top/>
      <bottom/>
      <diagonal/>
    </border>
    <border>
      <left/>
      <right/>
      <top/>
      <bottom style="thin">
        <color rgb="FFE1D7F0"/>
      </bottom>
      <diagonal/>
    </border>
    <border>
      <left/>
      <right/>
      <top style="thin">
        <color rgb="FFE1D7F0"/>
      </top>
      <bottom/>
      <diagonal/>
    </border>
    <border>
      <left/>
      <right/>
      <top/>
      <bottom style="thin">
        <color rgb="FFE1D7F0"/>
      </bottom>
      <diagonal/>
    </border>
    <border>
      <left/>
      <right/>
      <top style="thin">
        <color rgb="FFE1D7F0"/>
      </top>
      <bottom/>
      <diagonal/>
    </border>
    <border>
      <left/>
      <right/>
      <top/>
      <bottom style="thin">
        <color rgb="FFE1D7F0"/>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bottom style="thin">
        <color rgb="FFE1D7F0"/>
      </bottom>
      <diagonal/>
    </border>
    <border>
      <left style="medium">
        <color rgb="FF000000"/>
      </left>
      <right/>
      <top/>
      <bottom/>
      <diagonal/>
    </border>
    <border>
      <left/>
      <right/>
      <top style="thin">
        <color rgb="FFE1D7F0"/>
      </top>
      <bottom/>
      <diagonal/>
    </border>
    <border>
      <left/>
      <right style="medium">
        <color rgb="FF000000"/>
      </right>
      <top/>
      <bottom style="thin">
        <color rgb="FFE1D7F0"/>
      </bottom>
      <diagonal/>
    </border>
    <border>
      <left/>
      <right/>
      <top style="thin">
        <color rgb="FFE1D7F0"/>
      </top>
      <bottom/>
      <diagonal/>
    </border>
    <border>
      <left/>
      <right style="medium">
        <color rgb="FF000000"/>
      </right>
      <top style="thin">
        <color rgb="FFE1D7F0"/>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style="thin">
        <color rgb="FFE1D7F0"/>
      </bottom>
      <diagonal/>
    </border>
    <border>
      <left/>
      <right/>
      <top/>
      <bottom style="thin">
        <color rgb="FFE1D7F0"/>
      </bottom>
      <diagonal/>
    </border>
    <border>
      <left/>
      <right/>
      <top/>
      <bottom style="thin">
        <color rgb="FFE1D7F0"/>
      </bottom>
      <diagonal/>
    </border>
    <border>
      <left style="medium">
        <color rgb="FF000000"/>
      </left>
      <right/>
      <top/>
      <bottom/>
      <diagonal/>
    </border>
    <border>
      <left/>
      <right/>
      <top/>
      <bottom style="thin">
        <color rgb="FFE1D7F0"/>
      </bottom>
      <diagonal/>
    </border>
    <border>
      <left style="medium">
        <color rgb="FF000000"/>
      </left>
      <right/>
      <top/>
      <bottom/>
      <diagonal/>
    </border>
    <border>
      <left/>
      <right/>
      <top/>
      <bottom style="thin">
        <color rgb="FFE1D7F0"/>
      </bottom>
      <diagonal/>
    </border>
    <border>
      <left/>
      <right/>
      <top/>
      <bottom style="thin">
        <color rgb="FFE1D7F0"/>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style="medium">
        <color rgb="FF000000"/>
      </right>
      <top/>
      <bottom style="thin">
        <color rgb="FFE1D7F0"/>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bottom/>
      <diagonal/>
    </border>
    <border>
      <left/>
      <right/>
      <top style="thin">
        <color rgb="FFE1D7F0"/>
      </top>
      <bottom/>
      <diagonal/>
    </border>
    <border>
      <left/>
      <right style="medium">
        <color rgb="FF000000"/>
      </right>
      <top style="thin">
        <color rgb="FFE1D7F0"/>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top/>
      <bottom style="thin">
        <color rgb="FFE1D7F0"/>
      </bottom>
      <diagonal/>
    </border>
    <border>
      <left/>
      <right/>
      <top/>
      <bottom style="thin">
        <color rgb="FFE1D7F0"/>
      </bottom>
      <diagonal/>
    </border>
    <border>
      <left/>
      <right style="thin">
        <color rgb="FF000000"/>
      </right>
      <top style="thin">
        <color rgb="FF000000"/>
      </top>
      <bottom style="thin">
        <color rgb="FF000000"/>
      </bottom>
      <diagonal/>
    </border>
    <border>
      <left/>
      <right/>
      <top/>
      <bottom style="thin">
        <color rgb="FFE1D7F0"/>
      </bottom>
      <diagonal/>
    </border>
    <border>
      <left/>
      <right style="medium">
        <color rgb="FF000000"/>
      </right>
      <top/>
      <bottom/>
      <diagonal/>
    </border>
    <border>
      <left style="medium">
        <color rgb="FF000000"/>
      </left>
      <right/>
      <top/>
      <bottom/>
      <diagonal/>
    </border>
    <border>
      <left/>
      <right/>
      <top/>
      <bottom style="thin">
        <color rgb="FFE1D7F0"/>
      </bottom>
      <diagonal/>
    </border>
    <border>
      <left/>
      <right/>
      <top/>
      <bottom style="thin">
        <color rgb="FFE1D7F0"/>
      </bottom>
      <diagonal/>
    </border>
    <border>
      <left/>
      <right/>
      <top/>
      <bottom style="thin">
        <color rgb="FFE1D7F0"/>
      </bottom>
      <diagonal/>
    </border>
    <border>
      <left/>
      <right style="thin">
        <color rgb="FF000000"/>
      </right>
      <top style="thin">
        <color rgb="FF000000"/>
      </top>
      <bottom style="thin">
        <color rgb="FF000000"/>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style="medium">
        <color rgb="FF000000"/>
      </right>
      <top/>
      <bottom style="thin">
        <color rgb="FFE1D7F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diagonal/>
    </border>
    <border>
      <left/>
      <right/>
      <top/>
      <bottom style="medium">
        <color rgb="FF000000"/>
      </bottom>
      <diagonal/>
    </border>
    <border>
      <left/>
      <right/>
      <top/>
      <bottom style="medium">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right/>
      <top/>
      <bottom style="medium">
        <color rgb="FF000000"/>
      </bottom>
      <diagonal/>
    </border>
    <border>
      <left style="medium">
        <color rgb="FF000000"/>
      </left>
      <right/>
      <top/>
      <bottom/>
      <diagonal/>
    </border>
    <border>
      <left/>
      <right style="thin">
        <color rgb="FF000000"/>
      </right>
      <top style="thin">
        <color rgb="FF000000"/>
      </top>
      <bottom style="thin">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thin">
        <color rgb="FFE1D7F0"/>
      </bottom>
      <diagonal/>
    </border>
    <border>
      <left style="medium">
        <color rgb="FF000000"/>
      </left>
      <right style="medium">
        <color rgb="FF000000"/>
      </right>
      <top style="thin">
        <color rgb="FFE1D7F0"/>
      </top>
      <bottom/>
      <diagonal/>
    </border>
    <border>
      <left style="medium">
        <color rgb="FF000000"/>
      </left>
      <right/>
      <top/>
      <bottom/>
      <diagonal/>
    </border>
    <border>
      <left/>
      <right/>
      <top/>
      <bottom style="thin">
        <color rgb="FFE1D7F0"/>
      </bottom>
      <diagonal/>
    </border>
    <border>
      <left/>
      <right/>
      <top style="thin">
        <color rgb="FFE1D7F0"/>
      </top>
      <bottom/>
      <diagonal/>
    </border>
    <border>
      <left/>
      <right/>
      <top/>
      <bottom style="thin">
        <color rgb="FFE1D7F0"/>
      </bottom>
      <diagonal/>
    </border>
    <border>
      <left/>
      <right style="medium">
        <color rgb="FF000000"/>
      </right>
      <top/>
      <bottom/>
      <diagonal/>
    </border>
    <border>
      <left/>
      <right/>
      <top style="thin">
        <color rgb="FFE1D7F0"/>
      </top>
      <bottom/>
      <diagonal/>
    </border>
    <border>
      <left/>
      <right/>
      <top/>
      <bottom style="thin">
        <color rgb="FFE1D7F0"/>
      </bottom>
      <diagonal/>
    </border>
    <border>
      <left style="medium">
        <color rgb="FF000000"/>
      </left>
      <right/>
      <top/>
      <bottom/>
      <diagonal/>
    </border>
    <border>
      <left/>
      <right/>
      <top/>
      <bottom style="thin">
        <color rgb="FFE1D7F0"/>
      </bottom>
      <diagonal/>
    </border>
    <border>
      <left/>
      <right/>
      <top style="thin">
        <color rgb="FFE1D7F0"/>
      </top>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style="thin">
        <color rgb="FF000000"/>
      </right>
      <top style="thin">
        <color rgb="FF000000"/>
      </top>
      <bottom style="thin">
        <color rgb="FF000000"/>
      </bottom>
      <diagonal/>
    </border>
    <border>
      <left/>
      <right/>
      <top/>
      <bottom style="thin">
        <color rgb="FFE1D7F0"/>
      </bottom>
      <diagonal/>
    </border>
    <border>
      <left/>
      <right style="medium">
        <color rgb="FF000000"/>
      </right>
      <top/>
      <bottom/>
      <diagonal/>
    </border>
    <border>
      <left/>
      <right style="medium">
        <color rgb="FF000000"/>
      </right>
      <top/>
      <bottom style="thin">
        <color rgb="FFE1D7F0"/>
      </bottom>
      <diagonal/>
    </border>
    <border>
      <left/>
      <right/>
      <top style="thin">
        <color rgb="FFE1D7F0"/>
      </top>
      <bottom/>
      <diagonal/>
    </border>
    <border>
      <left/>
      <right style="medium">
        <color rgb="FF000000"/>
      </right>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style="thin">
        <color rgb="FF000000"/>
      </right>
      <top style="thin">
        <color rgb="FF000000"/>
      </top>
      <bottom style="thin">
        <color rgb="FF000000"/>
      </bottom>
      <diagonal/>
    </border>
    <border>
      <left/>
      <right style="medium">
        <color rgb="FF000000"/>
      </right>
      <top style="thin">
        <color rgb="FFE1D7F0"/>
      </top>
      <bottom/>
      <diagonal/>
    </border>
    <border>
      <left style="medium">
        <color rgb="FF000000"/>
      </left>
      <right/>
      <top/>
      <bottom/>
      <diagonal/>
    </border>
    <border>
      <left style="medium">
        <color rgb="FF000000"/>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medium">
        <color rgb="FF000000"/>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bottom style="thin">
        <color rgb="FFE1D7F0"/>
      </bottom>
      <diagonal/>
    </border>
    <border>
      <left/>
      <right style="thin">
        <color rgb="FF000000"/>
      </right>
      <top style="thin">
        <color rgb="FF000000"/>
      </top>
      <bottom style="thin">
        <color rgb="FF000000"/>
      </bottom>
      <diagonal/>
    </border>
    <border>
      <left/>
      <right/>
      <top/>
      <bottom style="thin">
        <color rgb="FFE1D7F0"/>
      </bottom>
      <diagonal/>
    </border>
    <border>
      <left/>
      <right/>
      <top/>
      <bottom style="thin">
        <color rgb="FFE1D7F0"/>
      </bottom>
      <diagonal/>
    </border>
    <border>
      <left/>
      <right style="medium">
        <color rgb="FF000000"/>
      </right>
      <top/>
      <bottom/>
      <diagonal/>
    </border>
    <border>
      <left/>
      <right/>
      <top/>
      <bottom style="thin">
        <color rgb="FFE1D7F0"/>
      </bottom>
      <diagonal/>
    </border>
    <border>
      <left/>
      <right style="thin">
        <color rgb="FF000000"/>
      </right>
      <top style="thin">
        <color rgb="FF000000"/>
      </top>
      <bottom style="thin">
        <color rgb="FF000000"/>
      </bottom>
      <diagonal/>
    </border>
    <border>
      <left/>
      <right/>
      <top/>
      <bottom style="thin">
        <color rgb="FFE1D7F0"/>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top/>
      <bottom style="thin">
        <color rgb="FFE1D7F0"/>
      </bottom>
      <diagonal/>
    </border>
    <border>
      <left/>
      <right style="thin">
        <color rgb="FF000000"/>
      </right>
      <top style="thin">
        <color rgb="FF000000"/>
      </top>
      <bottom style="thin">
        <color rgb="FF000000"/>
      </bottom>
      <diagonal/>
    </border>
    <border>
      <left/>
      <right style="medium">
        <color rgb="FF000000"/>
      </right>
      <top/>
      <bottom style="thin">
        <color rgb="FFE1D7F0"/>
      </bottom>
      <diagonal/>
    </border>
    <border>
      <left/>
      <right style="medium">
        <color rgb="FF000000"/>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style="medium">
        <color rgb="FF000000"/>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bottom/>
      <diagonal/>
    </border>
    <border>
      <left/>
      <right style="medium">
        <color rgb="FF000000"/>
      </right>
      <top style="thin">
        <color rgb="FFE1D7F0"/>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style="medium">
        <color rgb="FF000000"/>
      </right>
      <top/>
      <bottom/>
      <diagonal/>
    </border>
    <border>
      <left/>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style="medium">
        <color rgb="FF000000"/>
      </right>
      <top style="thin">
        <color rgb="FFE1D7F0"/>
      </top>
      <bottom/>
      <diagonal/>
    </border>
    <border>
      <left/>
      <right/>
      <top style="thin">
        <color rgb="FFE1D7F0"/>
      </top>
      <bottom/>
      <diagonal/>
    </border>
    <border>
      <left style="medium">
        <color rgb="FF000000"/>
      </left>
      <right/>
      <top/>
      <bottom/>
      <diagonal/>
    </border>
    <border>
      <left/>
      <right/>
      <top style="thin">
        <color rgb="FFE1D7F0"/>
      </top>
      <bottom/>
      <diagonal/>
    </border>
    <border>
      <left/>
      <right style="medium">
        <color rgb="FF000000"/>
      </right>
      <top/>
      <bottom/>
      <diagonal/>
    </border>
    <border>
      <left/>
      <right/>
      <top style="thin">
        <color rgb="FFE1D7F0"/>
      </top>
      <bottom/>
      <diagonal/>
    </border>
    <border>
      <left/>
      <right style="medium">
        <color rgb="FF000000"/>
      </right>
      <top/>
      <bottom/>
      <diagonal/>
    </border>
    <border>
      <left/>
      <right/>
      <top style="thin">
        <color rgb="FFE1D7F0"/>
      </top>
      <bottom/>
      <diagonal/>
    </border>
    <border>
      <left style="medium">
        <color rgb="FF000000"/>
      </left>
      <right/>
      <top/>
      <bottom/>
      <diagonal/>
    </border>
    <border>
      <left/>
      <right style="medium">
        <color rgb="FF000000"/>
      </right>
      <top style="thin">
        <color rgb="FFE1D7F0"/>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style="thin">
        <color rgb="FFE1D7F0"/>
      </bottom>
      <diagonal/>
    </border>
    <border>
      <left/>
      <right/>
      <top/>
      <bottom style="thin">
        <color rgb="FFE1D7F0"/>
      </bottom>
      <diagonal/>
    </border>
    <border>
      <left style="medium">
        <color rgb="FF000000"/>
      </left>
      <right/>
      <top/>
      <bottom/>
      <diagonal/>
    </border>
    <border>
      <left/>
      <right style="medium">
        <color rgb="FF000000"/>
      </right>
      <top/>
      <bottom/>
      <diagonal/>
    </border>
    <border>
      <left/>
      <right/>
      <top/>
      <bottom style="thin">
        <color rgb="FFE1D7F0"/>
      </bottom>
      <diagonal/>
    </border>
    <border>
      <left/>
      <right/>
      <top/>
      <bottom style="thin">
        <color rgb="FFE1D7F0"/>
      </bottom>
      <diagonal/>
    </border>
    <border>
      <left/>
      <right style="medium">
        <color rgb="FF000000"/>
      </right>
      <top/>
      <bottom/>
      <diagonal/>
    </border>
    <border>
      <left/>
      <right/>
      <top/>
      <bottom style="thin">
        <color rgb="FFE1D7F0"/>
      </bottom>
      <diagonal/>
    </border>
    <border>
      <left/>
      <right style="medium">
        <color rgb="FF000000"/>
      </right>
      <top/>
      <bottom/>
      <diagonal/>
    </border>
    <border>
      <left/>
      <right/>
      <top/>
      <bottom style="thin">
        <color rgb="FFE1D7F0"/>
      </bottom>
      <diagonal/>
    </border>
    <border>
      <left style="medium">
        <color rgb="FF000000"/>
      </left>
      <right/>
      <top/>
      <bottom/>
      <diagonal/>
    </border>
    <border>
      <left/>
      <right/>
      <top/>
      <bottom style="thin">
        <color rgb="FFE1D7F0"/>
      </bottom>
      <diagonal/>
    </border>
    <border>
      <left/>
      <right/>
      <top/>
      <bottom style="thin">
        <color rgb="FFE1D7F0"/>
      </bottom>
      <diagonal/>
    </border>
    <border>
      <left style="medium">
        <color rgb="FF000000"/>
      </left>
      <right/>
      <top/>
      <bottom/>
      <diagonal/>
    </border>
    <border>
      <left/>
      <right style="medium">
        <color rgb="FF000000"/>
      </right>
      <top/>
      <bottom/>
      <diagonal/>
    </border>
    <border>
      <left/>
      <right style="medium">
        <color rgb="FF000000"/>
      </right>
      <top/>
      <bottom style="thin">
        <color rgb="FFE1D7F0"/>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top style="thin">
        <color rgb="FFE1D7F0"/>
      </top>
      <bottom/>
      <diagonal/>
    </border>
    <border>
      <left/>
      <right style="medium">
        <color rgb="FF000000"/>
      </right>
      <top style="thin">
        <color rgb="FFE1D7F0"/>
      </top>
      <bottom/>
      <diagonal/>
    </border>
    <border>
      <left/>
      <right style="medium">
        <color rgb="FF000000"/>
      </right>
      <top/>
      <bottom/>
      <diagonal/>
    </border>
    <border>
      <left style="thin">
        <color auto="1"/>
      </left>
      <right style="thin">
        <color auto="1"/>
      </right>
      <top style="thin">
        <color auto="1"/>
      </top>
      <bottom style="thin">
        <color auto="1"/>
      </bottom>
      <diagonal/>
    </border>
  </borders>
  <cellStyleXfs count="1">
    <xf numFmtId="0" fontId="0" fillId="0" borderId="0" applyFont="0" applyFill="0" applyBorder="0"/>
  </cellStyleXfs>
  <cellXfs count="445">
    <xf numFmtId="0" fontId="0" fillId="0" borderId="0" xfId="0" applyNumberFormat="1"/>
    <xf numFmtId="0" fontId="1" fillId="0" borderId="0" xfId="0" applyNumberFormat="1" applyFont="1" applyAlignment="1">
      <alignment horizontal="center"/>
    </xf>
    <xf numFmtId="0" fontId="2" fillId="0" borderId="0" xfId="0" applyNumberFormat="1" applyFont="1" applyAlignment="1">
      <alignment vertical="top" wrapText="1"/>
    </xf>
    <xf numFmtId="0" fontId="2" fillId="0" borderId="0" xfId="0" applyNumberFormat="1" applyFont="1" applyAlignment="1">
      <alignment vertical="top"/>
    </xf>
    <xf numFmtId="0" fontId="2" fillId="0" borderId="0" xfId="0" applyNumberFormat="1" applyFont="1" applyAlignment="1">
      <alignment wrapText="1"/>
    </xf>
    <xf numFmtId="0" fontId="2" fillId="2" borderId="0" xfId="0" applyNumberFormat="1" applyFont="1" applyFill="1"/>
    <xf numFmtId="0" fontId="2" fillId="0" borderId="1" xfId="0" applyNumberFormat="1" applyFont="1" applyBorder="1"/>
    <xf numFmtId="0" fontId="1" fillId="0" borderId="1" xfId="0" applyNumberFormat="1" applyFont="1" applyBorder="1" applyAlignment="1">
      <alignment horizontal="left"/>
    </xf>
    <xf numFmtId="0" fontId="2" fillId="0" borderId="2" xfId="0" applyNumberFormat="1" applyFont="1" applyBorder="1"/>
    <xf numFmtId="0" fontId="1" fillId="3" borderId="2" xfId="0" applyNumberFormat="1" applyFont="1" applyFill="1" applyBorder="1" applyAlignment="1">
      <alignment wrapText="1"/>
    </xf>
    <xf numFmtId="0" fontId="2" fillId="0" borderId="3" xfId="0" applyNumberFormat="1" applyFont="1" applyBorder="1"/>
    <xf numFmtId="1" fontId="2" fillId="0" borderId="3" xfId="0" applyNumberFormat="1" applyFont="1" applyBorder="1"/>
    <xf numFmtId="0" fontId="1" fillId="2" borderId="2" xfId="0" applyNumberFormat="1" applyFont="1" applyFill="1" applyBorder="1" applyAlignment="1">
      <alignment vertical="top" wrapText="1"/>
    </xf>
    <xf numFmtId="0" fontId="3" fillId="2" borderId="0" xfId="0" applyNumberFormat="1" applyFont="1" applyFill="1" applyAlignment="1">
      <alignment horizontal="left" vertical="center" wrapText="1"/>
    </xf>
    <xf numFmtId="0" fontId="3" fillId="2" borderId="0" xfId="0" applyNumberFormat="1" applyFont="1" applyFill="1" applyAlignment="1">
      <alignment vertical="top" wrapText="1"/>
    </xf>
    <xf numFmtId="0" fontId="3" fillId="2" borderId="0" xfId="0" applyNumberFormat="1" applyFont="1" applyFill="1"/>
    <xf numFmtId="0" fontId="2" fillId="2" borderId="0" xfId="0" applyNumberFormat="1" applyFont="1" applyFill="1" applyAlignment="1">
      <alignment vertical="top"/>
    </xf>
    <xf numFmtId="0" fontId="1" fillId="0" borderId="2" xfId="0" applyNumberFormat="1" applyFont="1" applyBorder="1" applyAlignment="1">
      <alignment horizontal="left"/>
    </xf>
    <xf numFmtId="1" fontId="2" fillId="0" borderId="2" xfId="0" applyNumberFormat="1" applyFont="1" applyBorder="1"/>
    <xf numFmtId="0" fontId="3" fillId="0" borderId="0" xfId="0" applyNumberFormat="1" applyFont="1"/>
    <xf numFmtId="0" fontId="3" fillId="2" borderId="0" xfId="0" applyNumberFormat="1" applyFont="1" applyFill="1" applyAlignment="1">
      <alignment wrapText="1"/>
    </xf>
    <xf numFmtId="0" fontId="1" fillId="0" borderId="0" xfId="0" applyNumberFormat="1" applyFont="1"/>
    <xf numFmtId="0" fontId="2" fillId="2" borderId="0" xfId="0" applyNumberFormat="1" applyFont="1" applyFill="1" applyAlignment="1">
      <alignment wrapText="1"/>
    </xf>
    <xf numFmtId="0" fontId="2" fillId="0" borderId="2" xfId="0" applyNumberFormat="1" applyFont="1" applyBorder="1"/>
    <xf numFmtId="0" fontId="2" fillId="2" borderId="2" xfId="0" applyNumberFormat="1" applyFont="1" applyFill="1" applyBorder="1"/>
    <xf numFmtId="0" fontId="2" fillId="2" borderId="2" xfId="0" applyNumberFormat="1" applyFont="1" applyFill="1" applyBorder="1" applyAlignment="1">
      <alignment wrapText="1"/>
    </xf>
    <xf numFmtId="0" fontId="7" fillId="2" borderId="2" xfId="0" applyNumberFormat="1" applyFont="1" applyFill="1" applyBorder="1" applyAlignment="1">
      <alignment horizontal="center" vertical="center"/>
    </xf>
    <xf numFmtId="0" fontId="8" fillId="2" borderId="0" xfId="0" applyNumberFormat="1" applyFont="1" applyFill="1" applyAlignment="1">
      <alignment vertical="center" wrapText="1"/>
    </xf>
    <xf numFmtId="0" fontId="9" fillId="2" borderId="0" xfId="0" applyNumberFormat="1" applyFont="1" applyFill="1"/>
    <xf numFmtId="0" fontId="2" fillId="2" borderId="0" xfId="0" applyNumberFormat="1" applyFont="1" applyFill="1"/>
    <xf numFmtId="0" fontId="1" fillId="0" borderId="1" xfId="0" applyNumberFormat="1" applyFont="1" applyBorder="1" applyAlignment="1">
      <alignment horizontal="left" vertical="top"/>
    </xf>
    <xf numFmtId="0" fontId="2" fillId="3" borderId="3" xfId="0" applyNumberFormat="1" applyFont="1" applyFill="1" applyBorder="1" applyAlignment="1">
      <alignment vertical="top" wrapText="1"/>
    </xf>
    <xf numFmtId="0" fontId="2" fillId="0" borderId="1" xfId="0" applyNumberFormat="1" applyFont="1" applyBorder="1" applyAlignment="1">
      <alignment horizontal="left" vertical="top"/>
    </xf>
    <xf numFmtId="0" fontId="2" fillId="0" borderId="2" xfId="0" applyNumberFormat="1" applyFont="1" applyBorder="1" applyAlignment="1">
      <alignment horizontal="left" vertical="top" wrapText="1"/>
    </xf>
    <xf numFmtId="0" fontId="2" fillId="0" borderId="2" xfId="0" applyNumberFormat="1" applyFont="1" applyBorder="1" applyAlignment="1">
      <alignment horizontal="left" vertical="top"/>
    </xf>
    <xf numFmtId="0" fontId="2" fillId="3" borderId="3" xfId="0" applyNumberFormat="1" applyFont="1" applyFill="1" applyBorder="1"/>
    <xf numFmtId="0" fontId="1" fillId="3" borderId="2" xfId="0" applyNumberFormat="1" applyFont="1" applyFill="1" applyBorder="1" applyAlignment="1">
      <alignment wrapText="1"/>
    </xf>
    <xf numFmtId="0" fontId="1" fillId="0" borderId="0" xfId="0" applyNumberFormat="1" applyFont="1" applyAlignment="1">
      <alignment wrapText="1"/>
    </xf>
    <xf numFmtId="0" fontId="10" fillId="0" borderId="2" xfId="0" applyNumberFormat="1" applyFont="1" applyBorder="1" applyAlignment="1">
      <alignment horizontal="center" vertical="center" wrapText="1"/>
    </xf>
    <xf numFmtId="0" fontId="11" fillId="0" borderId="2" xfId="0" applyNumberFormat="1" applyFont="1" applyBorder="1" applyAlignment="1">
      <alignment horizontal="center" vertical="center" wrapText="1"/>
    </xf>
    <xf numFmtId="0" fontId="1" fillId="0" borderId="0" xfId="0" applyNumberFormat="1" applyFont="1" applyAlignment="1">
      <alignment vertical="top" wrapText="1"/>
    </xf>
    <xf numFmtId="0" fontId="12" fillId="0" borderId="16" xfId="0" applyNumberFormat="1" applyFont="1" applyBorder="1" applyAlignment="1">
      <alignment wrapText="1"/>
    </xf>
    <xf numFmtId="0" fontId="13" fillId="0" borderId="0" xfId="0" applyNumberFormat="1" applyFont="1" applyAlignment="1">
      <alignment horizontal="left" vertical="center"/>
    </xf>
    <xf numFmtId="0" fontId="12" fillId="0" borderId="0" xfId="0" applyNumberFormat="1" applyFont="1" applyAlignment="1">
      <alignment wrapText="1"/>
    </xf>
    <xf numFmtId="0" fontId="14" fillId="0" borderId="0" xfId="0" applyNumberFormat="1" applyFont="1" applyAlignment="1">
      <alignment wrapText="1"/>
    </xf>
    <xf numFmtId="0" fontId="1" fillId="4" borderId="2" xfId="0" applyNumberFormat="1" applyFont="1" applyFill="1" applyBorder="1" applyAlignment="1">
      <alignment horizontal="center"/>
    </xf>
    <xf numFmtId="0" fontId="1" fillId="4" borderId="2" xfId="0" applyNumberFormat="1" applyFont="1" applyFill="1" applyBorder="1" applyAlignment="1">
      <alignment horizontal="center" vertical="center"/>
    </xf>
    <xf numFmtId="0" fontId="14" fillId="0" borderId="0" xfId="0" applyNumberFormat="1" applyFont="1"/>
    <xf numFmtId="0" fontId="15" fillId="0" borderId="0" xfId="0" applyNumberFormat="1" applyFont="1" applyAlignment="1">
      <alignment horizontal="center" vertical="center"/>
    </xf>
    <xf numFmtId="0" fontId="1" fillId="3" borderId="2" xfId="0" applyNumberFormat="1" applyFont="1" applyFill="1" applyBorder="1" applyAlignment="1">
      <alignment horizontal="center" vertical="top"/>
    </xf>
    <xf numFmtId="0" fontId="16" fillId="0" borderId="0" xfId="0" applyNumberFormat="1" applyFont="1"/>
    <xf numFmtId="0" fontId="2" fillId="0" borderId="2" xfId="0" applyNumberFormat="1" applyFont="1" applyBorder="1" applyAlignment="1">
      <alignment vertical="top" wrapText="1"/>
    </xf>
    <xf numFmtId="0" fontId="17" fillId="0" borderId="0" xfId="0" applyNumberFormat="1" applyFont="1" applyAlignment="1">
      <alignment vertical="top" wrapText="1"/>
    </xf>
    <xf numFmtId="0" fontId="19" fillId="7" borderId="0" xfId="0" applyNumberFormat="1" applyFont="1" applyFill="1"/>
    <xf numFmtId="0" fontId="19" fillId="9" borderId="0" xfId="0" applyNumberFormat="1" applyFont="1" applyFill="1"/>
    <xf numFmtId="0" fontId="19" fillId="10" borderId="0" xfId="0" applyNumberFormat="1" applyFont="1" applyFill="1"/>
    <xf numFmtId="0" fontId="19" fillId="11" borderId="0" xfId="0" applyNumberFormat="1" applyFont="1" applyFill="1"/>
    <xf numFmtId="0" fontId="23" fillId="0" borderId="0" xfId="0" applyNumberFormat="1" applyFont="1"/>
    <xf numFmtId="0" fontId="2" fillId="12" borderId="26" xfId="0" applyNumberFormat="1" applyFont="1" applyFill="1" applyBorder="1"/>
    <xf numFmtId="0" fontId="2" fillId="12" borderId="0" xfId="0" applyNumberFormat="1" applyFont="1" applyFill="1"/>
    <xf numFmtId="0" fontId="2" fillId="12" borderId="37" xfId="0" applyNumberFormat="1" applyFont="1" applyFill="1" applyBorder="1"/>
    <xf numFmtId="0" fontId="3" fillId="2" borderId="0" xfId="0" applyNumberFormat="1" applyFont="1" applyFill="1" applyAlignment="1">
      <alignment vertical="center"/>
    </xf>
    <xf numFmtId="0" fontId="33" fillId="0" borderId="0" xfId="0" applyNumberFormat="1" applyFont="1" applyAlignment="1">
      <alignment vertical="center"/>
    </xf>
    <xf numFmtId="0" fontId="34" fillId="0" borderId="0" xfId="0" applyNumberFormat="1" applyFont="1" applyAlignment="1">
      <alignment horizontal="left" vertical="center" indent="1"/>
    </xf>
    <xf numFmtId="0" fontId="2" fillId="0" borderId="0" xfId="0" applyNumberFormat="1" applyFont="1" applyAlignment="1">
      <alignment horizontal="left" vertical="center" indent="1"/>
    </xf>
    <xf numFmtId="0" fontId="36" fillId="0" borderId="2" xfId="0" applyNumberFormat="1" applyFont="1" applyBorder="1"/>
    <xf numFmtId="0" fontId="37" fillId="3" borderId="2" xfId="0" applyNumberFormat="1" applyFont="1" applyFill="1" applyBorder="1" applyAlignment="1">
      <alignment wrapText="1"/>
    </xf>
    <xf numFmtId="0" fontId="35" fillId="0" borderId="2" xfId="0" applyNumberFormat="1" applyFont="1" applyBorder="1"/>
    <xf numFmtId="0" fontId="37" fillId="3" borderId="2" xfId="0" applyNumberFormat="1" applyFont="1" applyFill="1" applyBorder="1" applyAlignment="1">
      <alignment horizontal="left" vertical="top"/>
    </xf>
    <xf numFmtId="0" fontId="37" fillId="3" borderId="2" xfId="0" applyNumberFormat="1" applyFont="1" applyFill="1" applyBorder="1"/>
    <xf numFmtId="0" fontId="37" fillId="17" borderId="2" xfId="0" applyNumberFormat="1" applyFont="1" applyFill="1" applyBorder="1" applyAlignment="1">
      <alignment wrapText="1"/>
    </xf>
    <xf numFmtId="0" fontId="37" fillId="3" borderId="2" xfId="0" applyNumberFormat="1" applyFont="1" applyFill="1" applyBorder="1" applyAlignment="1">
      <alignment vertical="top" wrapText="1"/>
    </xf>
    <xf numFmtId="0" fontId="2" fillId="0" borderId="0" xfId="0" applyNumberFormat="1" applyFont="1" applyFill="1" applyBorder="1"/>
    <xf numFmtId="0" fontId="2" fillId="0" borderId="0" xfId="0" applyNumberFormat="1" applyFont="1" applyFill="1" applyBorder="1" applyAlignment="1">
      <alignment wrapText="1"/>
    </xf>
    <xf numFmtId="0" fontId="4" fillId="0" borderId="0" xfId="0" applyNumberFormat="1" applyFont="1" applyFill="1" applyBorder="1"/>
    <xf numFmtId="0" fontId="35" fillId="0" borderId="0" xfId="0" applyNumberFormat="1" applyFont="1" applyFill="1" applyBorder="1" applyAlignment="1">
      <alignment wrapText="1"/>
    </xf>
    <xf numFmtId="0" fontId="0" fillId="0" borderId="0" xfId="0" applyNumberFormat="1" applyFill="1" applyBorder="1"/>
    <xf numFmtId="0" fontId="6" fillId="0" borderId="0" xfId="0" applyNumberFormat="1" applyFont="1" applyFill="1" applyBorder="1"/>
    <xf numFmtId="0" fontId="35" fillId="0" borderId="0" xfId="0" applyNumberFormat="1" applyFont="1" applyFill="1" applyBorder="1"/>
    <xf numFmtId="0" fontId="38" fillId="18" borderId="329" xfId="0" applyFont="1" applyFill="1" applyBorder="1" applyAlignment="1">
      <alignment vertical="top" wrapText="1"/>
    </xf>
    <xf numFmtId="0" fontId="40" fillId="0" borderId="329" xfId="0" applyFont="1" applyBorder="1" applyAlignment="1">
      <alignment horizontal="left" vertical="top"/>
    </xf>
    <xf numFmtId="0" fontId="38" fillId="0" borderId="329" xfId="0" applyFont="1" applyBorder="1" applyAlignment="1">
      <alignment horizontal="left" vertical="top"/>
    </xf>
    <xf numFmtId="0" fontId="38" fillId="0" borderId="329" xfId="0" applyFont="1" applyBorder="1"/>
    <xf numFmtId="0" fontId="38" fillId="0" borderId="329" xfId="0" applyFont="1" applyBorder="1" applyAlignment="1">
      <alignment vertical="top" wrapText="1"/>
    </xf>
    <xf numFmtId="0" fontId="39" fillId="0" borderId="329" xfId="0" applyFont="1" applyBorder="1" applyAlignment="1">
      <alignment vertical="top" wrapText="1"/>
    </xf>
    <xf numFmtId="0" fontId="35" fillId="0" borderId="329" xfId="0" applyFont="1" applyBorder="1" applyAlignment="1">
      <alignment vertical="top" wrapText="1"/>
    </xf>
    <xf numFmtId="0" fontId="41" fillId="2" borderId="0" xfId="0" applyNumberFormat="1" applyFont="1" applyFill="1"/>
    <xf numFmtId="0" fontId="42" fillId="2" borderId="0" xfId="0" applyNumberFormat="1" applyFont="1" applyFill="1" applyAlignment="1">
      <alignment vertical="center" wrapText="1"/>
    </xf>
    <xf numFmtId="0" fontId="35" fillId="0" borderId="3" xfId="0" applyNumberFormat="1" applyFont="1" applyBorder="1" applyAlignment="1">
      <alignment vertical="top" wrapText="1"/>
    </xf>
    <xf numFmtId="0" fontId="2" fillId="0" borderId="4" xfId="0" applyNumberFormat="1" applyFont="1" applyBorder="1" applyAlignment="1">
      <alignment horizontal="center"/>
    </xf>
    <xf numFmtId="0" fontId="2" fillId="0" borderId="5" xfId="0" applyNumberFormat="1" applyFont="1" applyBorder="1" applyAlignment="1">
      <alignment horizontal="center"/>
    </xf>
    <xf numFmtId="0" fontId="2" fillId="0" borderId="6" xfId="0" applyNumberFormat="1" applyFont="1" applyBorder="1" applyAlignment="1">
      <alignment horizontal="center"/>
    </xf>
    <xf numFmtId="0" fontId="2" fillId="0" borderId="7" xfId="0" applyNumberFormat="1" applyFont="1" applyBorder="1" applyAlignment="1">
      <alignment horizontal="center"/>
    </xf>
    <xf numFmtId="0" fontId="2" fillId="0" borderId="8" xfId="0" applyNumberFormat="1" applyFont="1" applyBorder="1" applyAlignment="1">
      <alignment horizontal="center"/>
    </xf>
    <xf numFmtId="0" fontId="2" fillId="0" borderId="9" xfId="0" applyNumberFormat="1" applyFont="1" applyBorder="1" applyAlignment="1">
      <alignment horizontal="center"/>
    </xf>
    <xf numFmtId="0" fontId="11" fillId="0" borderId="17" xfId="0" applyNumberFormat="1" applyFont="1" applyBorder="1" applyAlignment="1">
      <alignment horizontal="center" vertical="center" textRotation="90" wrapText="1"/>
    </xf>
    <xf numFmtId="0" fontId="11" fillId="0" borderId="22" xfId="0" applyNumberFormat="1" applyFont="1" applyBorder="1" applyAlignment="1">
      <alignment horizontal="center" vertical="center" textRotation="90" wrapText="1"/>
    </xf>
    <xf numFmtId="0" fontId="11" fillId="0" borderId="23" xfId="0" applyNumberFormat="1" applyFont="1" applyBorder="1" applyAlignment="1">
      <alignment horizontal="center" vertical="center" textRotation="90" wrapText="1"/>
    </xf>
    <xf numFmtId="0" fontId="11" fillId="0" borderId="24" xfId="0" applyNumberFormat="1" applyFont="1" applyBorder="1" applyAlignment="1">
      <alignment horizontal="center" vertical="center" textRotation="90" wrapText="1"/>
    </xf>
    <xf numFmtId="0" fontId="0" fillId="0" borderId="11" xfId="0" applyBorder="1" applyAlignment="1">
      <alignment vertical="center" textRotation="90" wrapText="1"/>
    </xf>
    <xf numFmtId="0" fontId="0" fillId="0" borderId="13" xfId="0" applyBorder="1" applyAlignment="1">
      <alignment vertical="center" textRotation="90" wrapText="1"/>
    </xf>
    <xf numFmtId="0" fontId="11" fillId="0" borderId="20" xfId="0" applyNumberFormat="1" applyFont="1" applyBorder="1" applyAlignment="1">
      <alignment horizontal="center" vertical="center" textRotation="90" wrapText="1"/>
    </xf>
    <xf numFmtId="0" fontId="0" fillId="0" borderId="12" xfId="0" applyBorder="1" applyAlignment="1">
      <alignment vertical="center" textRotation="90" wrapText="1"/>
    </xf>
    <xf numFmtId="0" fontId="0" fillId="0" borderId="14" xfId="0" applyBorder="1" applyAlignment="1">
      <alignment vertical="center" textRotation="90" wrapText="1"/>
    </xf>
    <xf numFmtId="0" fontId="0" fillId="0" borderId="15" xfId="0" applyBorder="1" applyAlignment="1">
      <alignment vertical="center" textRotation="90" wrapText="1"/>
    </xf>
    <xf numFmtId="0" fontId="0" fillId="0" borderId="10" xfId="0" applyBorder="1" applyAlignment="1">
      <alignment vertical="center" textRotation="90" wrapText="1"/>
    </xf>
    <xf numFmtId="0" fontId="11" fillId="0" borderId="19" xfId="0" applyNumberFormat="1" applyFont="1" applyBorder="1" applyAlignment="1">
      <alignment horizontal="center" vertical="center" textRotation="90" wrapText="1"/>
    </xf>
    <xf numFmtId="0" fontId="11" fillId="0" borderId="21" xfId="0" applyNumberFormat="1" applyFont="1" applyBorder="1" applyAlignment="1">
      <alignment horizontal="center" vertical="center" textRotation="90" wrapText="1"/>
    </xf>
    <xf numFmtId="0" fontId="11" fillId="0" borderId="18" xfId="0" applyNumberFormat="1" applyFont="1" applyBorder="1" applyAlignment="1">
      <alignment horizontal="center" vertical="center" textRotation="90" wrapText="1"/>
    </xf>
    <xf numFmtId="0" fontId="12" fillId="0" borderId="0" xfId="0" applyNumberFormat="1" applyFont="1" applyAlignment="1">
      <alignment wrapText="1"/>
    </xf>
    <xf numFmtId="0" fontId="20" fillId="8" borderId="0" xfId="0" applyNumberFormat="1" applyFont="1" applyFill="1"/>
    <xf numFmtId="0" fontId="2" fillId="0" borderId="0" xfId="0" applyNumberFormat="1" applyFont="1" applyAlignment="1">
      <alignment wrapText="1"/>
    </xf>
    <xf numFmtId="0" fontId="0" fillId="0" borderId="0" xfId="0" applyAlignment="1">
      <alignment wrapText="1"/>
    </xf>
    <xf numFmtId="0" fontId="18" fillId="6" borderId="0" xfId="0" applyNumberFormat="1" applyFont="1" applyFill="1"/>
    <xf numFmtId="0" fontId="21" fillId="0" borderId="0" xfId="0" applyNumberFormat="1" applyFont="1" applyAlignment="1">
      <alignment wrapText="1"/>
    </xf>
    <xf numFmtId="0" fontId="25" fillId="0" borderId="0" xfId="0" applyNumberFormat="1" applyFont="1"/>
    <xf numFmtId="0" fontId="22" fillId="0" borderId="0" xfId="0" applyNumberFormat="1" applyFont="1"/>
    <xf numFmtId="0" fontId="5" fillId="0" borderId="0" xfId="0" applyNumberFormat="1" applyFont="1"/>
    <xf numFmtId="0" fontId="2" fillId="5" borderId="0" xfId="0" applyNumberFormat="1" applyFont="1" applyFill="1" applyAlignment="1">
      <alignment wrapText="1"/>
    </xf>
    <xf numFmtId="0" fontId="0" fillId="5" borderId="0" xfId="0" applyFill="1" applyAlignment="1">
      <alignment wrapText="1"/>
    </xf>
    <xf numFmtId="0" fontId="26" fillId="0" borderId="0" xfId="0" applyNumberFormat="1" applyFont="1"/>
    <xf numFmtId="0" fontId="24" fillId="0" borderId="0" xfId="0" applyNumberFormat="1" applyFont="1"/>
    <xf numFmtId="0" fontId="27" fillId="8" borderId="28" xfId="0" applyNumberFormat="1" applyFont="1" applyFill="1" applyBorder="1" applyAlignment="1">
      <alignment horizontal="center" vertical="center" wrapText="1"/>
    </xf>
    <xf numFmtId="0" fontId="27" fillId="8" borderId="29" xfId="0" applyNumberFormat="1" applyFont="1" applyFill="1" applyBorder="1" applyAlignment="1">
      <alignment horizontal="center" vertical="center" wrapText="1"/>
    </xf>
    <xf numFmtId="0" fontId="27" fillId="8" borderId="30" xfId="0" applyNumberFormat="1" applyFont="1" applyFill="1" applyBorder="1" applyAlignment="1">
      <alignment horizontal="center" vertical="center" wrapText="1"/>
    </xf>
    <xf numFmtId="0" fontId="27" fillId="8" borderId="31" xfId="0" applyNumberFormat="1" applyFont="1" applyFill="1" applyBorder="1" applyAlignment="1">
      <alignment horizontal="center" vertical="center" wrapText="1"/>
    </xf>
    <xf numFmtId="0" fontId="27" fillId="8" borderId="32" xfId="0" applyNumberFormat="1" applyFont="1" applyFill="1" applyBorder="1" applyAlignment="1">
      <alignment horizontal="center" vertical="center" wrapText="1"/>
    </xf>
    <xf numFmtId="0" fontId="27" fillId="8" borderId="33" xfId="0" applyNumberFormat="1" applyFont="1" applyFill="1" applyBorder="1" applyAlignment="1">
      <alignment horizontal="center" vertical="center" wrapText="1"/>
    </xf>
    <xf numFmtId="0" fontId="27" fillId="8" borderId="34" xfId="0" applyNumberFormat="1" applyFont="1" applyFill="1" applyBorder="1" applyAlignment="1">
      <alignment horizontal="center" vertical="center" wrapText="1"/>
    </xf>
    <xf numFmtId="0" fontId="27" fillId="8" borderId="36" xfId="0" applyNumberFormat="1" applyFont="1" applyFill="1" applyBorder="1" applyAlignment="1">
      <alignment horizontal="center" vertical="center" wrapText="1"/>
    </xf>
    <xf numFmtId="0" fontId="27" fillId="8" borderId="38" xfId="0" applyNumberFormat="1" applyFont="1" applyFill="1" applyBorder="1" applyAlignment="1">
      <alignment horizontal="center" vertical="center" wrapText="1"/>
    </xf>
    <xf numFmtId="0" fontId="27" fillId="8" borderId="44" xfId="0" applyNumberFormat="1" applyFont="1" applyFill="1" applyBorder="1" applyAlignment="1">
      <alignment horizontal="center" vertical="center" wrapText="1"/>
    </xf>
    <xf numFmtId="0" fontId="27" fillId="8" borderId="0" xfId="0" applyNumberFormat="1" applyFont="1" applyFill="1" applyAlignment="1">
      <alignment horizontal="center" vertical="center" wrapText="1"/>
    </xf>
    <xf numFmtId="0" fontId="27" fillId="8" borderId="47" xfId="0" applyNumberFormat="1" applyFont="1" applyFill="1" applyBorder="1" applyAlignment="1">
      <alignment horizontal="center" vertical="center" wrapText="1"/>
    </xf>
    <xf numFmtId="0" fontId="28" fillId="8" borderId="40" xfId="0" applyNumberFormat="1" applyFont="1" applyFill="1" applyBorder="1" applyAlignment="1">
      <alignment vertical="top"/>
    </xf>
    <xf numFmtId="0" fontId="28" fillId="8" borderId="0" xfId="0" applyNumberFormat="1" applyFont="1" applyFill="1" applyAlignment="1">
      <alignment vertical="top"/>
    </xf>
    <xf numFmtId="0" fontId="28" fillId="8" borderId="118" xfId="0" applyNumberFormat="1" applyFont="1" applyFill="1" applyBorder="1" applyAlignment="1">
      <alignment vertical="top"/>
    </xf>
    <xf numFmtId="0" fontId="19" fillId="16" borderId="2" xfId="0" applyNumberFormat="1" applyFont="1" applyFill="1" applyBorder="1" applyAlignment="1">
      <alignment horizontal="center"/>
    </xf>
    <xf numFmtId="0" fontId="19" fillId="16" borderId="152" xfId="0" applyNumberFormat="1" applyFont="1" applyFill="1" applyBorder="1" applyAlignment="1">
      <alignment horizontal="center"/>
    </xf>
    <xf numFmtId="0" fontId="19" fillId="11" borderId="2" xfId="0" applyNumberFormat="1" applyFont="1" applyFill="1" applyBorder="1" applyAlignment="1">
      <alignment horizontal="center"/>
    </xf>
    <xf numFmtId="0" fontId="19" fillId="11" borderId="133" xfId="0" applyNumberFormat="1" applyFont="1" applyFill="1" applyBorder="1" applyAlignment="1">
      <alignment horizontal="center"/>
    </xf>
    <xf numFmtId="0" fontId="28" fillId="8" borderId="40" xfId="0" applyNumberFormat="1" applyFont="1" applyFill="1" applyBorder="1" applyAlignment="1">
      <alignment horizontal="left" vertical="top"/>
    </xf>
    <xf numFmtId="0" fontId="28" fillId="8" borderId="0" xfId="0" applyNumberFormat="1" applyFont="1" applyFill="1" applyAlignment="1">
      <alignment horizontal="left" vertical="top"/>
    </xf>
    <xf numFmtId="0" fontId="28" fillId="8" borderId="90" xfId="0" applyNumberFormat="1" applyFont="1" applyFill="1" applyBorder="1" applyAlignment="1">
      <alignment horizontal="left" vertical="top"/>
    </xf>
    <xf numFmtId="0" fontId="2" fillId="2" borderId="54" xfId="0" applyNumberFormat="1" applyFont="1" applyFill="1" applyBorder="1" applyAlignment="1">
      <alignment vertical="top" wrapText="1"/>
    </xf>
    <xf numFmtId="0" fontId="2" fillId="2" borderId="107" xfId="0" applyNumberFormat="1" applyFont="1" applyFill="1" applyBorder="1" applyAlignment="1">
      <alignment vertical="top" wrapText="1"/>
    </xf>
    <xf numFmtId="0" fontId="2" fillId="2" borderId="108" xfId="0" applyNumberFormat="1" applyFont="1" applyFill="1" applyBorder="1" applyAlignment="1">
      <alignment vertical="top" wrapText="1"/>
    </xf>
    <xf numFmtId="0" fontId="2" fillId="2" borderId="110" xfId="0" applyNumberFormat="1" applyFont="1" applyFill="1" applyBorder="1" applyAlignment="1">
      <alignment vertical="top" wrapText="1"/>
    </xf>
    <xf numFmtId="0" fontId="2" fillId="2" borderId="112" xfId="0" applyNumberFormat="1" applyFont="1" applyFill="1" applyBorder="1" applyAlignment="1">
      <alignment vertical="top" wrapText="1"/>
    </xf>
    <xf numFmtId="0" fontId="2" fillId="2" borderId="113" xfId="0" applyNumberFormat="1" applyFont="1" applyFill="1" applyBorder="1" applyAlignment="1">
      <alignment vertical="top" wrapText="1"/>
    </xf>
    <xf numFmtId="0" fontId="2" fillId="2" borderId="114" xfId="0" applyNumberFormat="1" applyFont="1" applyFill="1" applyBorder="1" applyAlignment="1">
      <alignment vertical="top" wrapText="1"/>
    </xf>
    <xf numFmtId="0" fontId="2" fillId="2" borderId="116" xfId="0" applyNumberFormat="1" applyFont="1" applyFill="1" applyBorder="1" applyAlignment="1">
      <alignment vertical="top" wrapText="1"/>
    </xf>
    <xf numFmtId="0" fontId="2" fillId="2" borderId="117" xfId="0" applyNumberFormat="1" applyFont="1" applyFill="1" applyBorder="1" applyAlignment="1">
      <alignment vertical="top" wrapText="1"/>
    </xf>
    <xf numFmtId="0" fontId="2" fillId="2" borderId="129" xfId="0" applyNumberFormat="1" applyFont="1" applyFill="1" applyBorder="1" applyAlignment="1">
      <alignment vertical="top" wrapText="1"/>
    </xf>
    <xf numFmtId="0" fontId="2" fillId="2" borderId="0" xfId="0" applyNumberFormat="1" applyFont="1" applyFill="1" applyAlignment="1">
      <alignment vertical="top" wrapText="1"/>
    </xf>
    <xf numFmtId="0" fontId="2" fillId="2" borderId="140" xfId="0" applyNumberFormat="1" applyFont="1" applyFill="1" applyBorder="1" applyAlignment="1">
      <alignment vertical="top" wrapText="1"/>
    </xf>
    <xf numFmtId="0" fontId="2" fillId="2" borderId="151" xfId="0" applyNumberFormat="1" applyFont="1" applyFill="1" applyBorder="1" applyAlignment="1">
      <alignment vertical="top" wrapText="1"/>
    </xf>
    <xf numFmtId="0" fontId="2" fillId="2" borderId="155" xfId="0" applyNumberFormat="1" applyFont="1" applyFill="1" applyBorder="1" applyAlignment="1">
      <alignment vertical="top" wrapText="1"/>
    </xf>
    <xf numFmtId="0" fontId="2" fillId="2" borderId="158" xfId="0" applyNumberFormat="1" applyFont="1" applyFill="1" applyBorder="1" applyAlignment="1">
      <alignment vertical="top" wrapText="1"/>
    </xf>
    <xf numFmtId="0" fontId="2" fillId="2" borderId="173" xfId="0" applyNumberFormat="1" applyFont="1" applyFill="1" applyBorder="1" applyAlignment="1">
      <alignment vertical="top" wrapText="1"/>
    </xf>
    <xf numFmtId="0" fontId="2" fillId="2" borderId="183" xfId="0" applyNumberFormat="1" applyFont="1" applyFill="1" applyBorder="1" applyAlignment="1">
      <alignment vertical="top" wrapText="1"/>
    </xf>
    <xf numFmtId="0" fontId="2" fillId="2" borderId="187" xfId="0" applyNumberFormat="1" applyFont="1" applyFill="1" applyBorder="1" applyAlignment="1">
      <alignment vertical="top" wrapText="1"/>
    </xf>
    <xf numFmtId="0" fontId="2" fillId="2" borderId="191" xfId="0" applyNumberFormat="1" applyFont="1" applyFill="1" applyBorder="1" applyAlignment="1">
      <alignment vertical="top" wrapText="1"/>
    </xf>
    <xf numFmtId="0" fontId="2" fillId="2" borderId="193" xfId="0" applyNumberFormat="1" applyFont="1" applyFill="1" applyBorder="1" applyAlignment="1">
      <alignment vertical="top" wrapText="1"/>
    </xf>
    <xf numFmtId="0" fontId="2" fillId="2" borderId="156" xfId="0" applyNumberFormat="1" applyFont="1" applyFill="1" applyBorder="1" applyAlignment="1">
      <alignment vertical="top" wrapText="1"/>
    </xf>
    <xf numFmtId="0" fontId="2" fillId="2" borderId="159" xfId="0" applyNumberFormat="1" applyFont="1" applyFill="1" applyBorder="1" applyAlignment="1">
      <alignment vertical="top" wrapText="1"/>
    </xf>
    <xf numFmtId="0" fontId="2" fillId="2" borderId="161" xfId="0" applyNumberFormat="1" applyFont="1" applyFill="1" applyBorder="1" applyAlignment="1">
      <alignment vertical="top" wrapText="1"/>
    </xf>
    <xf numFmtId="0" fontId="2" fillId="2" borderId="164" xfId="0" applyNumberFormat="1" applyFont="1" applyFill="1" applyBorder="1" applyAlignment="1">
      <alignment vertical="top" wrapText="1"/>
    </xf>
    <xf numFmtId="0" fontId="2" fillId="2" borderId="166" xfId="0" applyNumberFormat="1" applyFont="1" applyFill="1" applyBorder="1" applyAlignment="1">
      <alignment vertical="top" wrapText="1"/>
    </xf>
    <xf numFmtId="0" fontId="2" fillId="2" borderId="169" xfId="0" applyNumberFormat="1" applyFont="1" applyFill="1" applyBorder="1" applyAlignment="1">
      <alignment vertical="top" wrapText="1"/>
    </xf>
    <xf numFmtId="0" fontId="2" fillId="2" borderId="170" xfId="0" applyNumberFormat="1" applyFont="1" applyFill="1" applyBorder="1" applyAlignment="1">
      <alignment vertical="top" wrapText="1"/>
    </xf>
    <xf numFmtId="0" fontId="2" fillId="2" borderId="172" xfId="0" applyNumberFormat="1" applyFont="1" applyFill="1" applyBorder="1" applyAlignment="1">
      <alignment vertical="top" wrapText="1"/>
    </xf>
    <xf numFmtId="0" fontId="2" fillId="2" borderId="174" xfId="0" applyNumberFormat="1" applyFont="1" applyFill="1" applyBorder="1" applyAlignment="1">
      <alignment vertical="top" wrapText="1"/>
    </xf>
    <xf numFmtId="0" fontId="28" fillId="8" borderId="200" xfId="0" applyNumberFormat="1" applyFont="1" applyFill="1" applyBorder="1" applyAlignment="1">
      <alignment vertical="top"/>
    </xf>
    <xf numFmtId="0" fontId="2" fillId="2" borderId="218" xfId="0" applyNumberFormat="1" applyFont="1" applyFill="1" applyBorder="1" applyAlignment="1">
      <alignment vertical="top" wrapText="1"/>
    </xf>
    <xf numFmtId="0" fontId="2" fillId="2" borderId="222" xfId="0" applyNumberFormat="1" applyFont="1" applyFill="1" applyBorder="1" applyAlignment="1">
      <alignment vertical="top" wrapText="1"/>
    </xf>
    <xf numFmtId="0" fontId="2" fillId="2" borderId="224" xfId="0" applyNumberFormat="1" applyFont="1" applyFill="1" applyBorder="1" applyAlignment="1">
      <alignment vertical="top" wrapText="1"/>
    </xf>
    <xf numFmtId="0" fontId="2" fillId="2" borderId="225" xfId="0" applyNumberFormat="1" applyFont="1" applyFill="1" applyBorder="1" applyAlignment="1">
      <alignment vertical="top" wrapText="1"/>
    </xf>
    <xf numFmtId="0" fontId="2" fillId="2" borderId="226" xfId="0" applyNumberFormat="1" applyFont="1" applyFill="1" applyBorder="1" applyAlignment="1">
      <alignment vertical="top" wrapText="1"/>
    </xf>
    <xf numFmtId="0" fontId="2" fillId="2" borderId="227" xfId="0" applyNumberFormat="1" applyFont="1" applyFill="1" applyBorder="1" applyAlignment="1">
      <alignment vertical="top" wrapText="1"/>
    </xf>
    <xf numFmtId="0" fontId="2" fillId="2" borderId="229" xfId="0" applyNumberFormat="1" applyFont="1" applyFill="1" applyBorder="1" applyAlignment="1">
      <alignment vertical="top" wrapText="1"/>
    </xf>
    <xf numFmtId="0" fontId="2" fillId="2" borderId="232" xfId="0" applyNumberFormat="1" applyFont="1" applyFill="1" applyBorder="1" applyAlignment="1">
      <alignment vertical="top" wrapText="1"/>
    </xf>
    <xf numFmtId="0" fontId="2" fillId="2" borderId="245" xfId="0" applyNumberFormat="1" applyFont="1" applyFill="1" applyBorder="1" applyAlignment="1">
      <alignment vertical="top" wrapText="1"/>
    </xf>
    <xf numFmtId="0" fontId="2" fillId="2" borderId="260" xfId="0" applyNumberFormat="1" applyFont="1" applyFill="1" applyBorder="1" applyAlignment="1">
      <alignment vertical="top" wrapText="1"/>
    </xf>
    <xf numFmtId="0" fontId="2" fillId="2" borderId="267" xfId="0" applyNumberFormat="1" applyFont="1" applyFill="1" applyBorder="1" applyAlignment="1">
      <alignment vertical="top" wrapText="1"/>
    </xf>
    <xf numFmtId="0" fontId="2" fillId="2" borderId="274" xfId="0" applyNumberFormat="1" applyFont="1" applyFill="1" applyBorder="1" applyAlignment="1">
      <alignment vertical="top" wrapText="1"/>
    </xf>
    <xf numFmtId="0" fontId="2" fillId="2" borderId="280" xfId="0" applyNumberFormat="1" applyFont="1" applyFill="1" applyBorder="1" applyAlignment="1">
      <alignment vertical="top" wrapText="1"/>
    </xf>
    <xf numFmtId="0" fontId="2" fillId="2" borderId="287" xfId="0" applyNumberFormat="1" applyFont="1" applyFill="1" applyBorder="1" applyAlignment="1">
      <alignment vertical="top" wrapText="1"/>
    </xf>
    <xf numFmtId="0" fontId="2" fillId="2" borderId="293" xfId="0" applyNumberFormat="1" applyFont="1" applyFill="1" applyBorder="1" applyAlignment="1">
      <alignment vertical="top" wrapText="1"/>
    </xf>
    <xf numFmtId="0" fontId="2" fillId="2" borderId="300" xfId="0" applyNumberFormat="1" applyFont="1" applyFill="1" applyBorder="1" applyAlignment="1">
      <alignment vertical="top" wrapText="1"/>
    </xf>
    <xf numFmtId="0" fontId="2" fillId="2" borderId="310" xfId="0" applyNumberFormat="1" applyFont="1" applyFill="1" applyBorder="1" applyAlignment="1">
      <alignment vertical="top" wrapText="1"/>
    </xf>
    <xf numFmtId="0" fontId="2" fillId="2" borderId="315" xfId="0" applyNumberFormat="1" applyFont="1" applyFill="1" applyBorder="1" applyAlignment="1">
      <alignment vertical="top" wrapText="1"/>
    </xf>
    <xf numFmtId="0" fontId="2" fillId="2" borderId="314" xfId="0" applyNumberFormat="1" applyFont="1" applyFill="1" applyBorder="1" applyAlignment="1">
      <alignment vertical="top" wrapText="1"/>
    </xf>
    <xf numFmtId="0" fontId="2" fillId="2" borderId="317" xfId="0" applyNumberFormat="1" applyFont="1" applyFill="1" applyBorder="1" applyAlignment="1">
      <alignment vertical="top" wrapText="1"/>
    </xf>
    <xf numFmtId="0" fontId="2" fillId="2" borderId="319" xfId="0" applyNumberFormat="1" applyFont="1" applyFill="1" applyBorder="1" applyAlignment="1">
      <alignment vertical="top" wrapText="1"/>
    </xf>
    <xf numFmtId="0" fontId="2" fillId="2" borderId="328" xfId="0" applyNumberFormat="1" applyFont="1" applyFill="1" applyBorder="1" applyAlignment="1">
      <alignment vertical="top" wrapText="1"/>
    </xf>
    <xf numFmtId="0" fontId="0" fillId="2" borderId="64" xfId="0" applyFill="1" applyBorder="1" applyAlignment="1">
      <alignment vertical="top" wrapText="1"/>
    </xf>
    <xf numFmtId="0" fontId="0" fillId="2" borderId="66" xfId="0" applyFill="1" applyBorder="1" applyAlignment="1">
      <alignment vertical="top" wrapText="1"/>
    </xf>
    <xf numFmtId="0" fontId="0" fillId="2" borderId="68" xfId="0" applyFill="1" applyBorder="1" applyAlignment="1">
      <alignment vertical="top" wrapText="1"/>
    </xf>
    <xf numFmtId="0" fontId="0" fillId="2" borderId="70" xfId="0" applyFill="1" applyBorder="1" applyAlignment="1">
      <alignment vertical="top" wrapText="1"/>
    </xf>
    <xf numFmtId="0" fontId="0" fillId="2" borderId="73" xfId="0" applyFill="1" applyBorder="1" applyAlignment="1">
      <alignment vertical="top" wrapText="1"/>
    </xf>
    <xf numFmtId="0" fontId="0" fillId="2" borderId="75" xfId="0" applyFill="1" applyBorder="1" applyAlignment="1">
      <alignment vertical="top" wrapText="1"/>
    </xf>
    <xf numFmtId="0" fontId="0" fillId="2" borderId="77" xfId="0" applyFill="1" applyBorder="1" applyAlignment="1">
      <alignment vertical="top" wrapText="1"/>
    </xf>
    <xf numFmtId="0" fontId="0" fillId="2" borderId="81" xfId="0" applyFill="1" applyBorder="1" applyAlignment="1">
      <alignment vertical="top" wrapText="1"/>
    </xf>
    <xf numFmtId="0" fontId="0" fillId="2" borderId="84" xfId="0" applyFill="1" applyBorder="1" applyAlignment="1">
      <alignment vertical="top" wrapText="1"/>
    </xf>
    <xf numFmtId="0" fontId="31" fillId="2" borderId="2" xfId="0" applyNumberFormat="1" applyFont="1" applyFill="1" applyBorder="1" applyAlignment="1">
      <alignment horizontal="center"/>
    </xf>
    <xf numFmtId="0" fontId="31" fillId="2" borderId="185" xfId="0" applyNumberFormat="1" applyFont="1" applyFill="1" applyBorder="1" applyAlignment="1">
      <alignment horizontal="center"/>
    </xf>
    <xf numFmtId="0" fontId="31" fillId="2" borderId="188" xfId="0" applyNumberFormat="1" applyFont="1" applyFill="1" applyBorder="1" applyAlignment="1">
      <alignment horizontal="center"/>
    </xf>
    <xf numFmtId="0" fontId="31" fillId="2" borderId="123" xfId="0" applyNumberFormat="1" applyFont="1" applyFill="1" applyBorder="1" applyAlignment="1">
      <alignment horizontal="center"/>
    </xf>
    <xf numFmtId="0" fontId="31" fillId="2" borderId="171" xfId="0" applyNumberFormat="1" applyFont="1" applyFill="1" applyBorder="1" applyAlignment="1">
      <alignment horizontal="center"/>
    </xf>
    <xf numFmtId="0" fontId="31" fillId="2" borderId="181" xfId="0" applyNumberFormat="1" applyFont="1" applyFill="1" applyBorder="1" applyAlignment="1">
      <alignment horizontal="center"/>
    </xf>
    <xf numFmtId="0" fontId="19" fillId="15" borderId="2" xfId="0" applyNumberFormat="1" applyFont="1" applyFill="1" applyBorder="1" applyAlignment="1">
      <alignment horizontal="center"/>
    </xf>
    <xf numFmtId="0" fontId="19" fillId="15" borderId="145" xfId="0" applyNumberFormat="1" applyFont="1" applyFill="1" applyBorder="1" applyAlignment="1">
      <alignment horizontal="center"/>
    </xf>
    <xf numFmtId="0" fontId="19" fillId="14" borderId="123" xfId="0" applyNumberFormat="1" applyFont="1" applyFill="1" applyBorder="1" applyAlignment="1">
      <alignment horizontal="center"/>
    </xf>
    <xf numFmtId="0" fontId="19" fillId="14" borderId="126" xfId="0" applyNumberFormat="1" applyFont="1" applyFill="1" applyBorder="1" applyAlignment="1">
      <alignment horizontal="center"/>
    </xf>
    <xf numFmtId="0" fontId="32" fillId="13" borderId="40" xfId="0" applyNumberFormat="1" applyFont="1" applyFill="1" applyBorder="1"/>
    <xf numFmtId="0" fontId="32" fillId="13" borderId="0" xfId="0" applyNumberFormat="1" applyFont="1" applyFill="1"/>
    <xf numFmtId="0" fontId="32" fillId="13" borderId="269" xfId="0" applyNumberFormat="1" applyFont="1" applyFill="1" applyBorder="1"/>
    <xf numFmtId="0" fontId="14" fillId="2" borderId="123" xfId="0" applyNumberFormat="1" applyFont="1" applyFill="1" applyBorder="1" applyAlignment="1">
      <alignment horizontal="center"/>
    </xf>
    <xf numFmtId="0" fontId="14" fillId="2" borderId="194" xfId="0" applyNumberFormat="1" applyFont="1" applyFill="1" applyBorder="1" applyAlignment="1">
      <alignment horizontal="center"/>
    </xf>
    <xf numFmtId="0" fontId="14" fillId="2" borderId="2" xfId="0" applyNumberFormat="1" applyFont="1" applyFill="1" applyBorder="1" applyAlignment="1">
      <alignment horizontal="center"/>
    </xf>
    <xf numFmtId="0" fontId="14" fillId="2" borderId="197" xfId="0" applyNumberFormat="1" applyFont="1" applyFill="1" applyBorder="1" applyAlignment="1">
      <alignment horizontal="center"/>
    </xf>
    <xf numFmtId="0" fontId="14" fillId="2" borderId="202" xfId="0" applyNumberFormat="1" applyFont="1" applyFill="1" applyBorder="1" applyAlignment="1">
      <alignment horizontal="center"/>
    </xf>
    <xf numFmtId="0" fontId="14" fillId="2" borderId="210" xfId="0" applyNumberFormat="1" applyFont="1" applyFill="1" applyBorder="1" applyAlignment="1">
      <alignment horizontal="center"/>
    </xf>
    <xf numFmtId="0" fontId="15" fillId="13" borderId="40" xfId="0" applyNumberFormat="1" applyFont="1" applyFill="1" applyBorder="1" applyAlignment="1">
      <alignment vertical="top"/>
    </xf>
    <xf numFmtId="0" fontId="15" fillId="13" borderId="0" xfId="0" applyNumberFormat="1" applyFont="1" applyFill="1" applyAlignment="1">
      <alignment vertical="top"/>
    </xf>
    <xf numFmtId="0" fontId="15" fillId="13" borderId="190" xfId="0" applyNumberFormat="1" applyFont="1" applyFill="1" applyBorder="1" applyAlignment="1">
      <alignment vertical="top"/>
    </xf>
    <xf numFmtId="0" fontId="29" fillId="12" borderId="40" xfId="0" applyNumberFormat="1" applyFont="1" applyFill="1" applyBorder="1" applyAlignment="1">
      <alignment wrapText="1"/>
    </xf>
    <xf numFmtId="0" fontId="29" fillId="12" borderId="0" xfId="0" applyNumberFormat="1" applyFont="1" applyFill="1" applyAlignment="1">
      <alignment wrapText="1"/>
    </xf>
    <xf numFmtId="0" fontId="29" fillId="12" borderId="162" xfId="0" applyNumberFormat="1" applyFont="1" applyFill="1" applyBorder="1" applyAlignment="1">
      <alignment wrapText="1"/>
    </xf>
    <xf numFmtId="0" fontId="28" fillId="8" borderId="142" xfId="0" applyNumberFormat="1" applyFont="1" applyFill="1" applyBorder="1" applyAlignment="1">
      <alignment vertical="top"/>
    </xf>
    <xf numFmtId="0" fontId="2" fillId="2" borderId="228" xfId="0" applyNumberFormat="1" applyFont="1" applyFill="1" applyBorder="1" applyAlignment="1">
      <alignment vertical="top" wrapText="1"/>
    </xf>
    <xf numFmtId="0" fontId="2" fillId="2" borderId="230" xfId="0" applyNumberFormat="1" applyFont="1" applyFill="1" applyBorder="1" applyAlignment="1">
      <alignment vertical="top" wrapText="1"/>
    </xf>
    <xf numFmtId="0" fontId="2" fillId="2" borderId="233" xfId="0" applyNumberFormat="1" applyFont="1" applyFill="1" applyBorder="1" applyAlignment="1">
      <alignment vertical="top" wrapText="1"/>
    </xf>
    <xf numFmtId="0" fontId="2" fillId="2" borderId="234" xfId="0" applyNumberFormat="1" applyFont="1" applyFill="1" applyBorder="1" applyAlignment="1">
      <alignment vertical="top" wrapText="1"/>
    </xf>
    <xf numFmtId="0" fontId="2" fillId="2" borderId="236" xfId="0" applyNumberFormat="1" applyFont="1" applyFill="1" applyBorder="1" applyAlignment="1">
      <alignment vertical="top" wrapText="1"/>
    </xf>
    <xf numFmtId="0" fontId="2" fillId="2" borderId="238" xfId="0" applyNumberFormat="1" applyFont="1" applyFill="1" applyBorder="1" applyAlignment="1">
      <alignment vertical="top" wrapText="1"/>
    </xf>
    <xf numFmtId="0" fontId="2" fillId="2" borderId="240" xfId="0" applyNumberFormat="1" applyFont="1" applyFill="1" applyBorder="1" applyAlignment="1">
      <alignment vertical="top" wrapText="1"/>
    </xf>
    <xf numFmtId="0" fontId="2" fillId="2" borderId="241" xfId="0" applyNumberFormat="1" applyFont="1" applyFill="1" applyBorder="1" applyAlignment="1">
      <alignment vertical="top" wrapText="1"/>
    </xf>
    <xf numFmtId="0" fontId="2" fillId="2" borderId="256" xfId="0" applyNumberFormat="1" applyFont="1" applyFill="1" applyBorder="1" applyAlignment="1">
      <alignment vertical="top" wrapText="1"/>
    </xf>
    <xf numFmtId="0" fontId="2" fillId="2" borderId="265" xfId="0" applyNumberFormat="1" applyFont="1" applyFill="1" applyBorder="1" applyAlignment="1">
      <alignment vertical="top" wrapText="1"/>
    </xf>
    <xf numFmtId="0" fontId="2" fillId="2" borderId="272" xfId="0" applyNumberFormat="1" applyFont="1" applyFill="1" applyBorder="1" applyAlignment="1">
      <alignment vertical="top" wrapText="1"/>
    </xf>
    <xf numFmtId="0" fontId="2" fillId="2" borderId="278" xfId="0" applyNumberFormat="1" applyFont="1" applyFill="1" applyBorder="1" applyAlignment="1">
      <alignment vertical="top" wrapText="1"/>
    </xf>
    <xf numFmtId="0" fontId="2" fillId="2" borderId="284" xfId="0" applyNumberFormat="1" applyFont="1" applyFill="1" applyBorder="1" applyAlignment="1">
      <alignment vertical="top" wrapText="1"/>
    </xf>
    <xf numFmtId="0" fontId="2" fillId="2" borderId="290" xfId="0" applyNumberFormat="1" applyFont="1" applyFill="1" applyBorder="1" applyAlignment="1">
      <alignment vertical="top" wrapText="1"/>
    </xf>
    <xf numFmtId="0" fontId="2" fillId="2" borderId="262" xfId="0" applyNumberFormat="1" applyFont="1" applyFill="1" applyBorder="1" applyAlignment="1">
      <alignment vertical="top" wrapText="1"/>
    </xf>
    <xf numFmtId="0" fontId="2" fillId="2" borderId="268" xfId="0" applyNumberFormat="1" applyFont="1" applyFill="1" applyBorder="1" applyAlignment="1">
      <alignment vertical="top" wrapText="1"/>
    </xf>
    <xf numFmtId="0" fontId="2" fillId="2" borderId="275" xfId="0" applyNumberFormat="1" applyFont="1" applyFill="1" applyBorder="1" applyAlignment="1">
      <alignment vertical="top" wrapText="1"/>
    </xf>
    <xf numFmtId="0" fontId="2" fillId="2" borderId="281" xfId="0" applyNumberFormat="1" applyFont="1" applyFill="1" applyBorder="1" applyAlignment="1">
      <alignment vertical="top" wrapText="1"/>
    </xf>
    <xf numFmtId="0" fontId="2" fillId="2" borderId="286" xfId="0" applyNumberFormat="1" applyFont="1" applyFill="1" applyBorder="1" applyAlignment="1">
      <alignment vertical="top" wrapText="1"/>
    </xf>
    <xf numFmtId="0" fontId="2" fillId="2" borderId="292" xfId="0" applyNumberFormat="1" applyFont="1" applyFill="1" applyBorder="1" applyAlignment="1">
      <alignment vertical="top" wrapText="1"/>
    </xf>
    <xf numFmtId="0" fontId="2" fillId="2" borderId="283" xfId="0" applyNumberFormat="1" applyFont="1" applyFill="1" applyBorder="1" applyAlignment="1">
      <alignment vertical="top" wrapText="1"/>
    </xf>
    <xf numFmtId="0" fontId="2" fillId="2" borderId="289" xfId="0" applyNumberFormat="1" applyFont="1" applyFill="1" applyBorder="1" applyAlignment="1">
      <alignment vertical="top" wrapText="1"/>
    </xf>
    <xf numFmtId="0" fontId="2" fillId="2" borderId="295" xfId="0" applyNumberFormat="1" applyFont="1" applyFill="1" applyBorder="1" applyAlignment="1">
      <alignment vertical="top" wrapText="1"/>
    </xf>
    <xf numFmtId="0" fontId="2" fillId="2" borderId="305" xfId="0" applyNumberFormat="1" applyFont="1" applyFill="1" applyBorder="1" applyAlignment="1">
      <alignment vertical="top" wrapText="1"/>
    </xf>
    <xf numFmtId="0" fontId="2" fillId="2" borderId="299" xfId="0" applyNumberFormat="1" applyFont="1" applyFill="1" applyBorder="1" applyAlignment="1">
      <alignment vertical="top" wrapText="1"/>
    </xf>
    <xf numFmtId="0" fontId="2" fillId="2" borderId="311" xfId="0" applyNumberFormat="1" applyFont="1" applyFill="1" applyBorder="1" applyAlignment="1">
      <alignment vertical="top" wrapText="1"/>
    </xf>
    <xf numFmtId="0" fontId="0" fillId="2" borderId="25" xfId="0" applyFill="1" applyBorder="1" applyAlignment="1">
      <alignment vertical="top" wrapText="1"/>
    </xf>
    <xf numFmtId="0" fontId="0" fillId="2" borderId="0" xfId="0" applyFill="1" applyAlignment="1">
      <alignment vertical="top" wrapText="1"/>
    </xf>
    <xf numFmtId="0" fontId="0" fillId="2" borderId="35" xfId="0" applyFill="1" applyBorder="1" applyAlignment="1">
      <alignment vertical="top" wrapText="1"/>
    </xf>
    <xf numFmtId="0" fontId="0" fillId="2" borderId="41" xfId="0" applyFill="1" applyBorder="1" applyAlignment="1">
      <alignment vertical="top" wrapText="1"/>
    </xf>
    <xf numFmtId="0" fontId="0" fillId="2" borderId="45" xfId="0" applyFill="1" applyBorder="1" applyAlignment="1">
      <alignment vertical="top" wrapText="1"/>
    </xf>
    <xf numFmtId="0" fontId="0" fillId="2" borderId="48" xfId="0" applyFill="1" applyBorder="1" applyAlignment="1">
      <alignment vertical="top" wrapText="1"/>
    </xf>
    <xf numFmtId="0" fontId="0" fillId="2" borderId="50" xfId="0" applyFill="1" applyBorder="1" applyAlignment="1">
      <alignment vertical="top" wrapText="1"/>
    </xf>
    <xf numFmtId="0" fontId="0" fillId="2" borderId="53" xfId="0" applyFill="1" applyBorder="1" applyAlignment="1">
      <alignment vertical="top" wrapText="1"/>
    </xf>
    <xf numFmtId="0" fontId="0" fillId="2" borderId="62" xfId="0" applyFill="1" applyBorder="1" applyAlignment="1">
      <alignment vertical="top" wrapText="1"/>
    </xf>
    <xf numFmtId="0" fontId="0" fillId="2" borderId="72" xfId="0" applyFill="1" applyBorder="1" applyAlignment="1">
      <alignment vertical="top" wrapText="1"/>
    </xf>
    <xf numFmtId="0" fontId="0" fillId="2" borderId="87" xfId="0" applyFill="1" applyBorder="1" applyAlignment="1">
      <alignment vertical="top" wrapText="1"/>
    </xf>
    <xf numFmtId="0" fontId="0" fillId="2" borderId="92" xfId="0" applyFill="1" applyBorder="1" applyAlignment="1">
      <alignment vertical="top" wrapText="1"/>
    </xf>
    <xf numFmtId="0" fontId="0" fillId="2" borderId="93" xfId="0" applyFill="1" applyBorder="1" applyAlignment="1">
      <alignment vertical="top" wrapText="1"/>
    </xf>
    <xf numFmtId="0" fontId="0" fillId="2" borderId="94" xfId="0" applyFill="1" applyBorder="1" applyAlignment="1">
      <alignment vertical="top" wrapText="1"/>
    </xf>
    <xf numFmtId="0" fontId="0" fillId="2" borderId="96" xfId="0" applyFill="1" applyBorder="1" applyAlignment="1">
      <alignment vertical="top" wrapText="1"/>
    </xf>
    <xf numFmtId="0" fontId="0" fillId="2" borderId="98" xfId="0" applyFill="1" applyBorder="1" applyAlignment="1">
      <alignment vertical="top" wrapText="1"/>
    </xf>
    <xf numFmtId="0" fontId="0" fillId="2" borderId="99" xfId="0" applyFill="1" applyBorder="1" applyAlignment="1">
      <alignment vertical="top" wrapText="1"/>
    </xf>
    <xf numFmtId="0" fontId="0" fillId="2" borderId="101" xfId="0" applyFill="1" applyBorder="1" applyAlignment="1">
      <alignment vertical="top" wrapText="1"/>
    </xf>
    <xf numFmtId="0" fontId="0" fillId="2" borderId="102" xfId="0" applyFill="1" applyBorder="1" applyAlignment="1">
      <alignment vertical="top" wrapText="1"/>
    </xf>
    <xf numFmtId="0" fontId="0" fillId="2" borderId="103" xfId="0" applyFill="1" applyBorder="1" applyAlignment="1">
      <alignment vertical="top" wrapText="1"/>
    </xf>
    <xf numFmtId="0" fontId="28" fillId="8" borderId="206" xfId="0" applyNumberFormat="1" applyFont="1" applyFill="1" applyBorder="1" applyAlignment="1">
      <alignment vertical="top"/>
    </xf>
    <xf numFmtId="0" fontId="30" fillId="12" borderId="157" xfId="0" applyNumberFormat="1" applyFont="1" applyFill="1" applyBorder="1" applyAlignment="1">
      <alignment horizontal="right"/>
    </xf>
    <xf numFmtId="0" fontId="30" fillId="12" borderId="160" xfId="0" applyNumberFormat="1" applyFont="1" applyFill="1" applyBorder="1" applyAlignment="1">
      <alignment horizontal="right"/>
    </xf>
    <xf numFmtId="0" fontId="30" fillId="12" borderId="163" xfId="0" applyNumberFormat="1" applyFont="1" applyFill="1" applyBorder="1" applyAlignment="1">
      <alignment horizontal="right"/>
    </xf>
    <xf numFmtId="0" fontId="30" fillId="12" borderId="167" xfId="0" applyNumberFormat="1" applyFont="1" applyFill="1" applyBorder="1" applyAlignment="1">
      <alignment horizontal="right"/>
    </xf>
    <xf numFmtId="0" fontId="30" fillId="12" borderId="175" xfId="0" applyNumberFormat="1" applyFont="1" applyFill="1" applyBorder="1" applyAlignment="1">
      <alignment horizontal="right"/>
    </xf>
    <xf numFmtId="0" fontId="30" fillId="12" borderId="177" xfId="0" applyNumberFormat="1" applyFont="1" applyFill="1" applyBorder="1" applyAlignment="1">
      <alignment horizontal="right"/>
    </xf>
    <xf numFmtId="0" fontId="30" fillId="12" borderId="178" xfId="0" applyNumberFormat="1" applyFont="1" applyFill="1" applyBorder="1" applyAlignment="1">
      <alignment horizontal="right"/>
    </xf>
    <xf numFmtId="0" fontId="30" fillId="12" borderId="180" xfId="0" applyNumberFormat="1" applyFont="1" applyFill="1" applyBorder="1" applyAlignment="1">
      <alignment horizontal="right"/>
    </xf>
    <xf numFmtId="0" fontId="30" fillId="12" borderId="182" xfId="0" applyNumberFormat="1" applyFont="1" applyFill="1" applyBorder="1" applyAlignment="1">
      <alignment horizontal="right"/>
    </xf>
    <xf numFmtId="0" fontId="2" fillId="2" borderId="55" xfId="0" applyNumberFormat="1" applyFont="1" applyFill="1" applyBorder="1" applyAlignment="1">
      <alignment vertical="top" wrapText="1"/>
    </xf>
    <xf numFmtId="0" fontId="2" fillId="2" borderId="57" xfId="0" applyNumberFormat="1" applyFont="1" applyFill="1" applyBorder="1" applyAlignment="1">
      <alignment vertical="top" wrapText="1"/>
    </xf>
    <xf numFmtId="0" fontId="2" fillId="2" borderId="58" xfId="0" applyNumberFormat="1" applyFont="1" applyFill="1" applyBorder="1" applyAlignment="1">
      <alignment vertical="top" wrapText="1"/>
    </xf>
    <xf numFmtId="0" fontId="2" fillId="2" borderId="59" xfId="0" applyNumberFormat="1" applyFont="1" applyFill="1" applyBorder="1" applyAlignment="1">
      <alignment vertical="top" wrapText="1"/>
    </xf>
    <xf numFmtId="0" fontId="2" fillId="2" borderId="60" xfId="0" applyNumberFormat="1" applyFont="1" applyFill="1" applyBorder="1" applyAlignment="1">
      <alignment vertical="top" wrapText="1"/>
    </xf>
    <xf numFmtId="0" fontId="2" fillId="2" borderId="61" xfId="0" applyNumberFormat="1" applyFont="1" applyFill="1" applyBorder="1" applyAlignment="1">
      <alignment vertical="top" wrapText="1"/>
    </xf>
    <xf numFmtId="0" fontId="2" fillId="2" borderId="63" xfId="0" applyNumberFormat="1" applyFont="1" applyFill="1" applyBorder="1" applyAlignment="1">
      <alignment vertical="top" wrapText="1"/>
    </xf>
    <xf numFmtId="0" fontId="2" fillId="2" borderId="65" xfId="0" applyNumberFormat="1" applyFont="1" applyFill="1" applyBorder="1" applyAlignment="1">
      <alignment vertical="top" wrapText="1"/>
    </xf>
    <xf numFmtId="0" fontId="2" fillId="2" borderId="79" xfId="0" applyNumberFormat="1" applyFont="1" applyFill="1" applyBorder="1" applyAlignment="1">
      <alignment vertical="top" wrapText="1"/>
    </xf>
    <xf numFmtId="0" fontId="2" fillId="2" borderId="88" xfId="0" applyNumberFormat="1" applyFont="1" applyFill="1" applyBorder="1" applyAlignment="1">
      <alignment vertical="top" wrapText="1"/>
    </xf>
    <xf numFmtId="0" fontId="2" fillId="2" borderId="95" xfId="0" applyNumberFormat="1" applyFont="1" applyFill="1" applyBorder="1" applyAlignment="1">
      <alignment vertical="top" wrapText="1"/>
    </xf>
    <xf numFmtId="0" fontId="2" fillId="2" borderId="104" xfId="0" applyNumberFormat="1" applyFont="1" applyFill="1" applyBorder="1" applyAlignment="1">
      <alignment vertical="top" wrapText="1"/>
    </xf>
    <xf numFmtId="0" fontId="2" fillId="2" borderId="109" xfId="0" applyNumberFormat="1" applyFont="1" applyFill="1" applyBorder="1" applyAlignment="1">
      <alignment vertical="top" wrapText="1"/>
    </xf>
    <xf numFmtId="0" fontId="2" fillId="2" borderId="119" xfId="0" applyNumberFormat="1" applyFont="1" applyFill="1" applyBorder="1" applyAlignment="1">
      <alignment vertical="top" wrapText="1"/>
    </xf>
    <xf numFmtId="0" fontId="2" fillId="2" borderId="124" xfId="0" applyNumberFormat="1" applyFont="1" applyFill="1" applyBorder="1" applyAlignment="1">
      <alignment vertical="top" wrapText="1"/>
    </xf>
    <xf numFmtId="0" fontId="2" fillId="2" borderId="125" xfId="0" applyNumberFormat="1" applyFont="1" applyFill="1" applyBorder="1" applyAlignment="1">
      <alignment vertical="top" wrapText="1"/>
    </xf>
    <xf numFmtId="0" fontId="2" fillId="2" borderId="127" xfId="0" applyNumberFormat="1" applyFont="1" applyFill="1" applyBorder="1" applyAlignment="1">
      <alignment vertical="top" wrapText="1"/>
    </xf>
    <xf numFmtId="0" fontId="2" fillId="2" borderId="130" xfId="0" applyNumberFormat="1" applyFont="1" applyFill="1" applyBorder="1" applyAlignment="1">
      <alignment vertical="top" wrapText="1"/>
    </xf>
    <xf numFmtId="0" fontId="2" fillId="2" borderId="131" xfId="0" applyNumberFormat="1" applyFont="1" applyFill="1" applyBorder="1" applyAlignment="1">
      <alignment vertical="top" wrapText="1"/>
    </xf>
    <xf numFmtId="0" fontId="2" fillId="2" borderId="132" xfId="0" applyNumberFormat="1" applyFont="1" applyFill="1" applyBorder="1" applyAlignment="1">
      <alignment vertical="top" wrapText="1"/>
    </xf>
    <xf numFmtId="0" fontId="2" fillId="2" borderId="135" xfId="0" applyNumberFormat="1" applyFont="1" applyFill="1" applyBorder="1" applyAlignment="1">
      <alignment vertical="top" wrapText="1"/>
    </xf>
    <xf numFmtId="0" fontId="2" fillId="2" borderId="136" xfId="0" applyNumberFormat="1" applyFont="1" applyFill="1" applyBorder="1" applyAlignment="1">
      <alignment vertical="top" wrapText="1"/>
    </xf>
    <xf numFmtId="0" fontId="2" fillId="2" borderId="137" xfId="0" applyNumberFormat="1" applyFont="1" applyFill="1" applyBorder="1" applyAlignment="1">
      <alignment vertical="top" wrapText="1"/>
    </xf>
    <xf numFmtId="0" fontId="15" fillId="13" borderId="40" xfId="0" applyNumberFormat="1" applyFont="1" applyFill="1" applyBorder="1"/>
    <xf numFmtId="0" fontId="15" fillId="13" borderId="0" xfId="0" applyNumberFormat="1" applyFont="1" applyFill="1"/>
    <xf numFmtId="0" fontId="15" fillId="13" borderId="43" xfId="0" applyNumberFormat="1" applyFont="1" applyFill="1" applyBorder="1"/>
    <xf numFmtId="0" fontId="30" fillId="12" borderId="237" xfId="0" applyNumberFormat="1" applyFont="1" applyFill="1" applyBorder="1" applyAlignment="1">
      <alignment horizontal="right"/>
    </xf>
    <xf numFmtId="0" fontId="30" fillId="12" borderId="239" xfId="0" applyNumberFormat="1" applyFont="1" applyFill="1" applyBorder="1" applyAlignment="1">
      <alignment horizontal="right"/>
    </xf>
    <xf numFmtId="0" fontId="30" fillId="12" borderId="242" xfId="0" applyNumberFormat="1" applyFont="1" applyFill="1" applyBorder="1" applyAlignment="1">
      <alignment horizontal="right"/>
    </xf>
    <xf numFmtId="0" fontId="30" fillId="12" borderId="244" xfId="0" applyNumberFormat="1" applyFont="1" applyFill="1" applyBorder="1" applyAlignment="1">
      <alignment horizontal="right"/>
    </xf>
    <xf numFmtId="0" fontId="30" fillId="12" borderId="246" xfId="0" applyNumberFormat="1" applyFont="1" applyFill="1" applyBorder="1" applyAlignment="1">
      <alignment horizontal="right"/>
    </xf>
    <xf numFmtId="0" fontId="30" fillId="12" borderId="249" xfId="0" applyNumberFormat="1" applyFont="1" applyFill="1" applyBorder="1" applyAlignment="1">
      <alignment horizontal="right"/>
    </xf>
    <xf numFmtId="0" fontId="30" fillId="12" borderId="252" xfId="0" applyNumberFormat="1" applyFont="1" applyFill="1" applyBorder="1" applyAlignment="1">
      <alignment horizontal="right"/>
    </xf>
    <xf numFmtId="0" fontId="30" fillId="12" borderId="254" xfId="0" applyNumberFormat="1" applyFont="1" applyFill="1" applyBorder="1" applyAlignment="1">
      <alignment horizontal="right"/>
    </xf>
    <xf numFmtId="0" fontId="2" fillId="2" borderId="213" xfId="0" applyNumberFormat="1" applyFont="1" applyFill="1" applyBorder="1" applyAlignment="1">
      <alignment vertical="top" wrapText="1"/>
    </xf>
    <xf numFmtId="0" fontId="2" fillId="2" borderId="214" xfId="0" applyNumberFormat="1" applyFont="1" applyFill="1" applyBorder="1" applyAlignment="1">
      <alignment vertical="top" wrapText="1"/>
    </xf>
    <xf numFmtId="0" fontId="2" fillId="2" borderId="215" xfId="0" applyNumberFormat="1" applyFont="1" applyFill="1" applyBorder="1" applyAlignment="1">
      <alignment vertical="top" wrapText="1"/>
    </xf>
    <xf numFmtId="0" fontId="2" fillId="2" borderId="216" xfId="0" applyNumberFormat="1" applyFont="1" applyFill="1" applyBorder="1" applyAlignment="1">
      <alignment vertical="top" wrapText="1"/>
    </xf>
    <xf numFmtId="0" fontId="2" fillId="2" borderId="217" xfId="0" applyNumberFormat="1" applyFont="1" applyFill="1" applyBorder="1" applyAlignment="1">
      <alignment vertical="top" wrapText="1"/>
    </xf>
    <xf numFmtId="0" fontId="2" fillId="2" borderId="219" xfId="0" applyNumberFormat="1" applyFont="1" applyFill="1" applyBorder="1" applyAlignment="1">
      <alignment vertical="top" wrapText="1"/>
    </xf>
    <xf numFmtId="0" fontId="2" fillId="2" borderId="220" xfId="0" applyNumberFormat="1" applyFont="1" applyFill="1" applyBorder="1" applyAlignment="1">
      <alignment vertical="top" wrapText="1"/>
    </xf>
    <xf numFmtId="0" fontId="2" fillId="2" borderId="223" xfId="0" applyNumberFormat="1" applyFont="1" applyFill="1" applyBorder="1" applyAlignment="1">
      <alignment vertical="top" wrapText="1"/>
    </xf>
    <xf numFmtId="0" fontId="2" fillId="2" borderId="235" xfId="0" applyNumberFormat="1" applyFont="1" applyFill="1" applyBorder="1" applyAlignment="1">
      <alignment vertical="top" wrapText="1"/>
    </xf>
    <xf numFmtId="0" fontId="2" fillId="2" borderId="248" xfId="0" applyNumberFormat="1" applyFont="1" applyFill="1" applyBorder="1" applyAlignment="1">
      <alignment vertical="top" wrapText="1"/>
    </xf>
    <xf numFmtId="0" fontId="2" fillId="2" borderId="251" xfId="0" applyNumberFormat="1" applyFont="1" applyFill="1" applyBorder="1" applyAlignment="1">
      <alignment vertical="top" wrapText="1"/>
    </xf>
    <xf numFmtId="0" fontId="2" fillId="2" borderId="264" xfId="0" applyNumberFormat="1" applyFont="1" applyFill="1" applyBorder="1" applyAlignment="1">
      <alignment vertical="top" wrapText="1"/>
    </xf>
    <xf numFmtId="0" fontId="2" fillId="2" borderId="271" xfId="0" applyNumberFormat="1" applyFont="1" applyFill="1" applyBorder="1" applyAlignment="1">
      <alignment vertical="top" wrapText="1"/>
    </xf>
    <xf numFmtId="0" fontId="2" fillId="2" borderId="277" xfId="0" applyNumberFormat="1" applyFont="1" applyFill="1" applyBorder="1" applyAlignment="1">
      <alignment vertical="top" wrapText="1"/>
    </xf>
    <xf numFmtId="0" fontId="0" fillId="2" borderId="196" xfId="0" applyFill="1" applyBorder="1" applyAlignment="1">
      <alignment vertical="top" wrapText="1"/>
    </xf>
    <xf numFmtId="0" fontId="0" fillId="2" borderId="198" xfId="0" applyFill="1" applyBorder="1" applyAlignment="1">
      <alignment vertical="top" wrapText="1"/>
    </xf>
    <xf numFmtId="0" fontId="0" fillId="2" borderId="199" xfId="0" applyFill="1" applyBorder="1" applyAlignment="1">
      <alignment vertical="top" wrapText="1"/>
    </xf>
    <xf numFmtId="0" fontId="0" fillId="2" borderId="201" xfId="0" applyFill="1" applyBorder="1" applyAlignment="1">
      <alignment vertical="top" wrapText="1"/>
    </xf>
    <xf numFmtId="0" fontId="0" fillId="2" borderId="203" xfId="0" applyFill="1" applyBorder="1" applyAlignment="1">
      <alignment vertical="top" wrapText="1"/>
    </xf>
    <xf numFmtId="0" fontId="0" fillId="2" borderId="207" xfId="0" applyFill="1" applyBorder="1" applyAlignment="1">
      <alignment vertical="top" wrapText="1"/>
    </xf>
    <xf numFmtId="0" fontId="0" fillId="2" borderId="208" xfId="0" applyFill="1" applyBorder="1" applyAlignment="1">
      <alignment vertical="top" wrapText="1"/>
    </xf>
    <xf numFmtId="0" fontId="0" fillId="2" borderId="209" xfId="0" applyFill="1" applyBorder="1" applyAlignment="1">
      <alignment vertical="top" wrapText="1"/>
    </xf>
    <xf numFmtId="0" fontId="0" fillId="2" borderId="211" xfId="0" applyFill="1" applyBorder="1" applyAlignment="1">
      <alignment vertical="top" wrapText="1"/>
    </xf>
    <xf numFmtId="0" fontId="2" fillId="2" borderId="69" xfId="0" applyNumberFormat="1" applyFont="1" applyFill="1" applyBorder="1" applyAlignment="1">
      <alignment vertical="top" wrapText="1"/>
    </xf>
    <xf numFmtId="0" fontId="2" fillId="2" borderId="71" xfId="0" applyNumberFormat="1" applyFont="1" applyFill="1" applyBorder="1" applyAlignment="1">
      <alignment vertical="top" wrapText="1"/>
    </xf>
    <xf numFmtId="0" fontId="2" fillId="2" borderId="74" xfId="0" applyNumberFormat="1" applyFont="1" applyFill="1" applyBorder="1" applyAlignment="1">
      <alignment vertical="top" wrapText="1"/>
    </xf>
    <xf numFmtId="0" fontId="2" fillId="2" borderId="76" xfId="0" applyNumberFormat="1" applyFont="1" applyFill="1" applyBorder="1" applyAlignment="1">
      <alignment vertical="top" wrapText="1"/>
    </xf>
    <xf numFmtId="0" fontId="2" fillId="2" borderId="78" xfId="0" applyNumberFormat="1" applyFont="1" applyFill="1" applyBorder="1" applyAlignment="1">
      <alignment vertical="top" wrapText="1"/>
    </xf>
    <xf numFmtId="0" fontId="2" fillId="2" borderId="80" xfId="0" applyNumberFormat="1" applyFont="1" applyFill="1" applyBorder="1" applyAlignment="1">
      <alignment vertical="top" wrapText="1"/>
    </xf>
    <xf numFmtId="0" fontId="2" fillId="2" borderId="83" xfId="0" applyNumberFormat="1" applyFont="1" applyFill="1" applyBorder="1" applyAlignment="1">
      <alignment vertical="top" wrapText="1"/>
    </xf>
    <xf numFmtId="0" fontId="2" fillId="2" borderId="85" xfId="0" applyNumberFormat="1" applyFont="1" applyFill="1" applyBorder="1" applyAlignment="1">
      <alignment vertical="top" wrapText="1"/>
    </xf>
    <xf numFmtId="0" fontId="2" fillId="2" borderId="86" xfId="0" applyNumberFormat="1" applyFont="1" applyFill="1" applyBorder="1" applyAlignment="1">
      <alignment vertical="top" wrapText="1"/>
    </xf>
    <xf numFmtId="0" fontId="2" fillId="2" borderId="91" xfId="0" applyNumberFormat="1" applyFont="1" applyFill="1" applyBorder="1" applyAlignment="1">
      <alignment vertical="top" wrapText="1"/>
    </xf>
    <xf numFmtId="0" fontId="2" fillId="2" borderId="100" xfId="0" applyNumberFormat="1" applyFont="1" applyFill="1" applyBorder="1" applyAlignment="1">
      <alignment vertical="top" wrapText="1"/>
    </xf>
    <xf numFmtId="0" fontId="2" fillId="2" borderId="106" xfId="0" applyNumberFormat="1" applyFont="1" applyFill="1" applyBorder="1" applyAlignment="1">
      <alignment vertical="top" wrapText="1"/>
    </xf>
    <xf numFmtId="0" fontId="2" fillId="2" borderId="115" xfId="0" applyNumberFormat="1" applyFont="1" applyFill="1" applyBorder="1" applyAlignment="1">
      <alignment vertical="top" wrapText="1"/>
    </xf>
    <xf numFmtId="0" fontId="2" fillId="2" borderId="121" xfId="0" applyNumberFormat="1" applyFont="1" applyFill="1" applyBorder="1" applyAlignment="1">
      <alignment vertical="top" wrapText="1"/>
    </xf>
    <xf numFmtId="0" fontId="2" fillId="2" borderId="128" xfId="0" applyNumberFormat="1" applyFont="1" applyFill="1" applyBorder="1" applyAlignment="1">
      <alignment vertical="top" wrapText="1"/>
    </xf>
    <xf numFmtId="0" fontId="2" fillId="2" borderId="139" xfId="0" applyNumberFormat="1" applyFont="1" applyFill="1" applyBorder="1" applyAlignment="1">
      <alignment vertical="top" wrapText="1"/>
    </xf>
    <xf numFmtId="0" fontId="2" fillId="2" borderId="149" xfId="0" applyNumberFormat="1" applyFont="1" applyFill="1" applyBorder="1" applyAlignment="1">
      <alignment vertical="top" wrapText="1"/>
    </xf>
    <xf numFmtId="0" fontId="2" fillId="2" borderId="154" xfId="0" applyNumberFormat="1" applyFont="1" applyFill="1" applyBorder="1" applyAlignment="1">
      <alignment vertical="top" wrapText="1"/>
    </xf>
    <xf numFmtId="0" fontId="2" fillId="2" borderId="168" xfId="0" applyNumberFormat="1" applyFont="1" applyFill="1" applyBorder="1" applyAlignment="1">
      <alignment vertical="top" wrapText="1"/>
    </xf>
    <xf numFmtId="0" fontId="2" fillId="2" borderId="179" xfId="0" applyNumberFormat="1" applyFont="1" applyFill="1" applyBorder="1" applyAlignment="1">
      <alignment vertical="top" wrapText="1"/>
    </xf>
    <xf numFmtId="0" fontId="2" fillId="2" borderId="186" xfId="0" applyNumberFormat="1" applyFont="1" applyFill="1" applyBorder="1" applyAlignment="1">
      <alignment vertical="top" wrapText="1"/>
    </xf>
    <xf numFmtId="0" fontId="2" fillId="2" borderId="165" xfId="0" applyNumberFormat="1" applyFont="1" applyFill="1" applyBorder="1" applyAlignment="1">
      <alignment vertical="top" wrapText="1"/>
    </xf>
    <xf numFmtId="0" fontId="2" fillId="2" borderId="176" xfId="0" applyNumberFormat="1" applyFont="1" applyFill="1" applyBorder="1" applyAlignment="1">
      <alignment vertical="top" wrapText="1"/>
    </xf>
    <xf numFmtId="0" fontId="2" fillId="2" borderId="184" xfId="0" applyNumberFormat="1" applyFont="1" applyFill="1" applyBorder="1" applyAlignment="1">
      <alignment vertical="top" wrapText="1"/>
    </xf>
    <xf numFmtId="0" fontId="2" fillId="2" borderId="189" xfId="0" applyNumberFormat="1" applyFont="1" applyFill="1" applyBorder="1" applyAlignment="1">
      <alignment vertical="top" wrapText="1"/>
    </xf>
    <xf numFmtId="0" fontId="2" fillId="2" borderId="192" xfId="0" applyNumberFormat="1" applyFont="1" applyFill="1" applyBorder="1" applyAlignment="1">
      <alignment vertical="top" wrapText="1"/>
    </xf>
    <xf numFmtId="0" fontId="2" fillId="2" borderId="195" xfId="0" applyNumberFormat="1" applyFont="1" applyFill="1" applyBorder="1" applyAlignment="1">
      <alignment vertical="top" wrapText="1"/>
    </xf>
    <xf numFmtId="0" fontId="2" fillId="2" borderId="205" xfId="0" applyNumberFormat="1" applyFont="1" applyFill="1" applyBorder="1" applyAlignment="1">
      <alignment vertical="top" wrapText="1"/>
    </xf>
    <xf numFmtId="0" fontId="2" fillId="2" borderId="212" xfId="0" applyNumberFormat="1" applyFont="1" applyFill="1" applyBorder="1" applyAlignment="1">
      <alignment vertical="top" wrapText="1"/>
    </xf>
    <xf numFmtId="0" fontId="2" fillId="2" borderId="221" xfId="0" applyNumberFormat="1" applyFont="1" applyFill="1" applyBorder="1" applyAlignment="1">
      <alignment vertical="top" wrapText="1"/>
    </xf>
    <xf numFmtId="0" fontId="2" fillId="2" borderId="231" xfId="0" applyNumberFormat="1" applyFont="1" applyFill="1" applyBorder="1" applyAlignment="1">
      <alignment vertical="top" wrapText="1"/>
    </xf>
    <xf numFmtId="0" fontId="2" fillId="2" borderId="243" xfId="0" applyNumberFormat="1" applyFont="1" applyFill="1" applyBorder="1" applyAlignment="1">
      <alignment vertical="top" wrapText="1"/>
    </xf>
    <xf numFmtId="0" fontId="2" fillId="2" borderId="258" xfId="0" applyNumberFormat="1" applyFont="1" applyFill="1" applyBorder="1" applyAlignment="1">
      <alignment vertical="top" wrapText="1"/>
    </xf>
    <xf numFmtId="0" fontId="2" fillId="2" borderId="266" xfId="0" applyNumberFormat="1" applyFont="1" applyFill="1" applyBorder="1" applyAlignment="1">
      <alignment vertical="top" wrapText="1"/>
    </xf>
    <xf numFmtId="0" fontId="2" fillId="2" borderId="273" xfId="0" applyNumberFormat="1" applyFont="1" applyFill="1" applyBorder="1" applyAlignment="1">
      <alignment vertical="top" wrapText="1"/>
    </xf>
    <xf numFmtId="0" fontId="2" fillId="2" borderId="279" xfId="0" applyNumberFormat="1" applyFont="1" applyFill="1" applyBorder="1" applyAlignment="1">
      <alignment vertical="top" wrapText="1"/>
    </xf>
    <xf numFmtId="0" fontId="2" fillId="2" borderId="285" xfId="0" applyNumberFormat="1" applyFont="1" applyFill="1" applyBorder="1" applyAlignment="1">
      <alignment vertical="top" wrapText="1"/>
    </xf>
    <xf numFmtId="0" fontId="2" fillId="2" borderId="291" xfId="0" applyNumberFormat="1" applyFont="1" applyFill="1" applyBorder="1" applyAlignment="1">
      <alignment vertical="top" wrapText="1"/>
    </xf>
    <xf numFmtId="0" fontId="2" fillId="2" borderId="296" xfId="0" applyNumberFormat="1" applyFont="1" applyFill="1" applyBorder="1" applyAlignment="1">
      <alignment vertical="top" wrapText="1"/>
    </xf>
    <xf numFmtId="0" fontId="2" fillId="2" borderId="307" xfId="0" applyNumberFormat="1" applyFont="1" applyFill="1" applyBorder="1" applyAlignment="1">
      <alignment vertical="top" wrapText="1"/>
    </xf>
    <xf numFmtId="0" fontId="2" fillId="2" borderId="313" xfId="0" applyNumberFormat="1" applyFont="1" applyFill="1" applyBorder="1" applyAlignment="1">
      <alignment vertical="top" wrapText="1"/>
    </xf>
    <xf numFmtId="0" fontId="2" fillId="2" borderId="316" xfId="0" applyNumberFormat="1" applyFont="1" applyFill="1" applyBorder="1" applyAlignment="1">
      <alignment vertical="top" wrapText="1"/>
    </xf>
    <xf numFmtId="0" fontId="2" fillId="2" borderId="318" xfId="0" applyNumberFormat="1" applyFont="1" applyFill="1" applyBorder="1" applyAlignment="1">
      <alignment vertical="top" wrapText="1"/>
    </xf>
    <xf numFmtId="0" fontId="0" fillId="2" borderId="27" xfId="0" applyFill="1" applyBorder="1" applyAlignment="1">
      <alignment vertical="top" wrapText="1"/>
    </xf>
    <xf numFmtId="0" fontId="0" fillId="2" borderId="39" xfId="0" applyFill="1" applyBorder="1" applyAlignment="1">
      <alignment vertical="top" wrapText="1"/>
    </xf>
    <xf numFmtId="0" fontId="0" fillId="2" borderId="42" xfId="0" applyFill="1" applyBorder="1" applyAlignment="1">
      <alignment vertical="top" wrapText="1"/>
    </xf>
    <xf numFmtId="0" fontId="0" fillId="2" borderId="46" xfId="0" applyFill="1" applyBorder="1" applyAlignment="1">
      <alignment vertical="top" wrapText="1"/>
    </xf>
    <xf numFmtId="0" fontId="0" fillId="2" borderId="49" xfId="0" applyFill="1" applyBorder="1" applyAlignment="1">
      <alignment vertical="top" wrapText="1"/>
    </xf>
    <xf numFmtId="0" fontId="0" fillId="2" borderId="52" xfId="0" applyFill="1" applyBorder="1" applyAlignment="1">
      <alignment vertical="top" wrapText="1"/>
    </xf>
    <xf numFmtId="0" fontId="0" fillId="2" borderId="56" xfId="0" applyFill="1" applyBorder="1" applyAlignment="1">
      <alignment vertical="top" wrapText="1"/>
    </xf>
    <xf numFmtId="0" fontId="0" fillId="2" borderId="67" xfId="0" applyFill="1" applyBorder="1" applyAlignment="1">
      <alignment vertical="top" wrapText="1"/>
    </xf>
    <xf numFmtId="0" fontId="2" fillId="2" borderId="82" xfId="0" applyNumberFormat="1" applyFont="1" applyFill="1" applyBorder="1" applyAlignment="1">
      <alignment vertical="top" wrapText="1"/>
    </xf>
    <xf numFmtId="0" fontId="2" fillId="2" borderId="89" xfId="0" applyNumberFormat="1" applyFont="1" applyFill="1" applyBorder="1" applyAlignment="1">
      <alignment vertical="top" wrapText="1"/>
    </xf>
    <xf numFmtId="0" fontId="2" fillId="2" borderId="97" xfId="0" applyNumberFormat="1" applyFont="1" applyFill="1" applyBorder="1" applyAlignment="1">
      <alignment vertical="top" wrapText="1"/>
    </xf>
    <xf numFmtId="0" fontId="2" fillId="2" borderId="105" xfId="0" applyNumberFormat="1" applyFont="1" applyFill="1" applyBorder="1" applyAlignment="1">
      <alignment vertical="top" wrapText="1"/>
    </xf>
    <xf numFmtId="0" fontId="2" fillId="2" borderId="111" xfId="0" applyNumberFormat="1" applyFont="1" applyFill="1" applyBorder="1" applyAlignment="1">
      <alignment vertical="top" wrapText="1"/>
    </xf>
    <xf numFmtId="0" fontId="2" fillId="2" borderId="120" xfId="0" applyNumberFormat="1" applyFont="1" applyFill="1" applyBorder="1" applyAlignment="1">
      <alignment vertical="top" wrapText="1"/>
    </xf>
    <xf numFmtId="0" fontId="2" fillId="2" borderId="122" xfId="0" applyNumberFormat="1" applyFont="1" applyFill="1" applyBorder="1" applyAlignment="1">
      <alignment vertical="top" wrapText="1"/>
    </xf>
    <xf numFmtId="0" fontId="2" fillId="2" borderId="134" xfId="0" applyNumberFormat="1" applyFont="1" applyFill="1" applyBorder="1" applyAlignment="1">
      <alignment vertical="top" wrapText="1"/>
    </xf>
    <xf numFmtId="0" fontId="2" fillId="2" borderId="138" xfId="0" applyNumberFormat="1" applyFont="1" applyFill="1" applyBorder="1" applyAlignment="1">
      <alignment vertical="top" wrapText="1"/>
    </xf>
    <xf numFmtId="0" fontId="2" fillId="2" borderId="141" xfId="0" applyNumberFormat="1" applyFont="1" applyFill="1" applyBorder="1" applyAlignment="1">
      <alignment vertical="top" wrapText="1"/>
    </xf>
    <xf numFmtId="0" fontId="2" fillId="2" borderId="143" xfId="0" applyNumberFormat="1" applyFont="1" applyFill="1" applyBorder="1" applyAlignment="1">
      <alignment vertical="top" wrapText="1"/>
    </xf>
    <xf numFmtId="0" fontId="2" fillId="2" borderId="144" xfId="0" applyNumberFormat="1" applyFont="1" applyFill="1" applyBorder="1" applyAlignment="1">
      <alignment vertical="top" wrapText="1"/>
    </xf>
    <xf numFmtId="0" fontId="2" fillId="2" borderId="146" xfId="0" applyNumberFormat="1" applyFont="1" applyFill="1" applyBorder="1" applyAlignment="1">
      <alignment vertical="top" wrapText="1"/>
    </xf>
    <xf numFmtId="0" fontId="2" fillId="2" borderId="147" xfId="0" applyNumberFormat="1" applyFont="1" applyFill="1" applyBorder="1" applyAlignment="1">
      <alignment vertical="top" wrapText="1"/>
    </xf>
    <xf numFmtId="0" fontId="2" fillId="2" borderId="148" xfId="0" applyNumberFormat="1" applyFont="1" applyFill="1" applyBorder="1" applyAlignment="1">
      <alignment vertical="top" wrapText="1"/>
    </xf>
    <xf numFmtId="0" fontId="2" fillId="2" borderId="150" xfId="0" applyNumberFormat="1" applyFont="1" applyFill="1" applyBorder="1" applyAlignment="1">
      <alignment vertical="top" wrapText="1"/>
    </xf>
    <xf numFmtId="0" fontId="2" fillId="2" borderId="153" xfId="0" applyNumberFormat="1" applyFont="1" applyFill="1" applyBorder="1" applyAlignment="1">
      <alignment vertical="top" wrapText="1"/>
    </xf>
    <xf numFmtId="0" fontId="28" fillId="8" borderId="51" xfId="0" applyNumberFormat="1" applyFont="1" applyFill="1" applyBorder="1" applyAlignment="1">
      <alignment vertical="top"/>
    </xf>
    <xf numFmtId="0" fontId="30" fillId="12" borderId="320" xfId="0" applyNumberFormat="1" applyFont="1" applyFill="1" applyBorder="1" applyAlignment="1">
      <alignment horizontal="right"/>
    </xf>
    <xf numFmtId="0" fontId="30" fillId="12" borderId="321" xfId="0" applyNumberFormat="1" applyFont="1" applyFill="1" applyBorder="1" applyAlignment="1">
      <alignment horizontal="right"/>
    </xf>
    <xf numFmtId="0" fontId="30" fillId="12" borderId="322" xfId="0" applyNumberFormat="1" applyFont="1" applyFill="1" applyBorder="1" applyAlignment="1">
      <alignment horizontal="right"/>
    </xf>
    <xf numFmtId="0" fontId="30" fillId="12" borderId="323" xfId="0" applyNumberFormat="1" applyFont="1" applyFill="1" applyBorder="1" applyAlignment="1">
      <alignment horizontal="right"/>
    </xf>
    <xf numFmtId="0" fontId="30" fillId="12" borderId="324" xfId="0" applyNumberFormat="1" applyFont="1" applyFill="1" applyBorder="1" applyAlignment="1">
      <alignment horizontal="right"/>
    </xf>
    <xf numFmtId="0" fontId="30" fillId="12" borderId="325" xfId="0" applyNumberFormat="1" applyFont="1" applyFill="1" applyBorder="1" applyAlignment="1">
      <alignment horizontal="right"/>
    </xf>
    <xf numFmtId="0" fontId="30" fillId="12" borderId="326" xfId="0" applyNumberFormat="1" applyFont="1" applyFill="1" applyBorder="1" applyAlignment="1">
      <alignment horizontal="right"/>
    </xf>
    <xf numFmtId="0" fontId="30" fillId="12" borderId="327" xfId="0" applyNumberFormat="1" applyFont="1" applyFill="1" applyBorder="1" applyAlignment="1">
      <alignment horizontal="right"/>
    </xf>
    <xf numFmtId="0" fontId="2" fillId="2" borderId="247" xfId="0" applyNumberFormat="1" applyFont="1" applyFill="1" applyBorder="1" applyAlignment="1">
      <alignment vertical="top" wrapText="1"/>
    </xf>
    <xf numFmtId="0" fontId="2" fillId="2" borderId="250" xfId="0" applyNumberFormat="1" applyFont="1" applyFill="1" applyBorder="1" applyAlignment="1">
      <alignment vertical="top" wrapText="1"/>
    </xf>
    <xf numFmtId="0" fontId="2" fillId="2" borderId="253" xfId="0" applyNumberFormat="1" applyFont="1" applyFill="1" applyBorder="1" applyAlignment="1">
      <alignment vertical="top" wrapText="1"/>
    </xf>
    <xf numFmtId="0" fontId="2" fillId="2" borderId="255" xfId="0" applyNumberFormat="1" applyFont="1" applyFill="1" applyBorder="1" applyAlignment="1">
      <alignment vertical="top" wrapText="1"/>
    </xf>
    <xf numFmtId="0" fontId="2" fillId="2" borderId="257" xfId="0" applyNumberFormat="1" applyFont="1" applyFill="1" applyBorder="1" applyAlignment="1">
      <alignment vertical="top" wrapText="1"/>
    </xf>
    <xf numFmtId="0" fontId="2" fillId="2" borderId="259" xfId="0" applyNumberFormat="1" applyFont="1" applyFill="1" applyBorder="1" applyAlignment="1">
      <alignment vertical="top" wrapText="1"/>
    </xf>
    <xf numFmtId="0" fontId="2" fillId="2" borderId="261" xfId="0" applyNumberFormat="1" applyFont="1" applyFill="1" applyBorder="1" applyAlignment="1">
      <alignment vertical="top" wrapText="1"/>
    </xf>
    <xf numFmtId="0" fontId="2" fillId="2" borderId="263" xfId="0" applyNumberFormat="1" applyFont="1" applyFill="1" applyBorder="1" applyAlignment="1">
      <alignment vertical="top" wrapText="1"/>
    </xf>
    <xf numFmtId="0" fontId="2" fillId="2" borderId="270" xfId="0" applyNumberFormat="1" applyFont="1" applyFill="1" applyBorder="1" applyAlignment="1">
      <alignment vertical="top" wrapText="1"/>
    </xf>
    <xf numFmtId="0" fontId="2" fillId="2" borderId="276" xfId="0" applyNumberFormat="1" applyFont="1" applyFill="1" applyBorder="1" applyAlignment="1">
      <alignment vertical="top" wrapText="1"/>
    </xf>
    <xf numFmtId="0" fontId="2" fillId="2" borderId="282" xfId="0" applyNumberFormat="1" applyFont="1" applyFill="1" applyBorder="1" applyAlignment="1">
      <alignment vertical="top" wrapText="1"/>
    </xf>
    <xf numFmtId="0" fontId="2" fillId="2" borderId="288" xfId="0" applyNumberFormat="1" applyFont="1" applyFill="1" applyBorder="1" applyAlignment="1">
      <alignment vertical="top" wrapText="1"/>
    </xf>
    <xf numFmtId="0" fontId="2" fillId="2" borderId="294" xfId="0" applyNumberFormat="1" applyFont="1" applyFill="1" applyBorder="1" applyAlignment="1">
      <alignment vertical="top" wrapText="1"/>
    </xf>
    <xf numFmtId="0" fontId="2" fillId="2" borderId="303" xfId="0" applyNumberFormat="1" applyFont="1" applyFill="1" applyBorder="1" applyAlignment="1">
      <alignment vertical="top" wrapText="1"/>
    </xf>
    <xf numFmtId="0" fontId="2" fillId="2" borderId="297" xfId="0" applyNumberFormat="1" applyFont="1" applyFill="1" applyBorder="1" applyAlignment="1">
      <alignment vertical="top" wrapText="1"/>
    </xf>
    <xf numFmtId="0" fontId="2" fillId="2" borderId="298" xfId="0" applyNumberFormat="1" applyFont="1" applyFill="1" applyBorder="1" applyAlignment="1">
      <alignment vertical="top" wrapText="1"/>
    </xf>
    <xf numFmtId="0" fontId="2" fillId="2" borderId="301" xfId="0" applyNumberFormat="1" applyFont="1" applyFill="1" applyBorder="1" applyAlignment="1">
      <alignment vertical="top" wrapText="1"/>
    </xf>
    <xf numFmtId="0" fontId="2" fillId="2" borderId="302" xfId="0" applyNumberFormat="1" applyFont="1" applyFill="1" applyBorder="1" applyAlignment="1">
      <alignment vertical="top" wrapText="1"/>
    </xf>
    <xf numFmtId="0" fontId="2" fillId="2" borderId="304" xfId="0" applyNumberFormat="1" applyFont="1" applyFill="1" applyBorder="1" applyAlignment="1">
      <alignment vertical="top" wrapText="1"/>
    </xf>
    <xf numFmtId="0" fontId="2" fillId="2" borderId="306" xfId="0" applyNumberFormat="1" applyFont="1" applyFill="1" applyBorder="1" applyAlignment="1">
      <alignment vertical="top" wrapText="1"/>
    </xf>
    <xf numFmtId="0" fontId="2" fillId="2" borderId="308" xfId="0" applyNumberFormat="1" applyFont="1" applyFill="1" applyBorder="1" applyAlignment="1">
      <alignment vertical="top" wrapText="1"/>
    </xf>
    <xf numFmtId="0" fontId="2" fillId="2" borderId="309" xfId="0" applyNumberFormat="1" applyFont="1" applyFill="1" applyBorder="1" applyAlignment="1">
      <alignment vertical="top" wrapText="1"/>
    </xf>
    <xf numFmtId="0" fontId="2" fillId="2" borderId="312" xfId="0" applyNumberFormat="1" applyFont="1" applyFill="1" applyBorder="1" applyAlignment="1">
      <alignment vertical="top" wrapText="1"/>
    </xf>
    <xf numFmtId="0" fontId="15" fillId="13" borderId="204" xfId="0" applyNumberFormat="1" applyFont="1" applyFill="1" applyBorder="1"/>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defPPr/>
            <a:lvl1pPr lvl="0">
              <a:defRPr sz="1700" b="0" i="0" strike="noStrike" cap="none" spc="0" baseline="0">
                <a:solidFill>
                  <a:srgbClr val="19252E"/>
                </a:solidFill>
                <a:latin typeface="+mn-lt"/>
                <a:ea typeface="+mn-ea"/>
                <a:cs typeface="+mn-cs"/>
              </a:defRPr>
            </a:lvl1pPr>
            <a:lvl2pPr lvl="1">
              <a:defRPr sz="1700" b="0" i="0" strike="noStrike" cap="none" spc="0" baseline="0">
                <a:solidFill>
                  <a:srgbClr val="19252E"/>
                </a:solidFill>
                <a:latin typeface="+mn-lt"/>
                <a:ea typeface="+mn-ea"/>
                <a:cs typeface="+mn-cs"/>
              </a:defRPr>
            </a:lvl2pPr>
            <a:lvl3pPr lvl="2">
              <a:defRPr sz="1700" b="0" i="0" strike="noStrike" cap="none" spc="0" baseline="0">
                <a:solidFill>
                  <a:srgbClr val="19252E"/>
                </a:solidFill>
                <a:latin typeface="+mn-lt"/>
                <a:ea typeface="+mn-ea"/>
                <a:cs typeface="+mn-cs"/>
              </a:defRPr>
            </a:lvl3pPr>
            <a:lvl4pPr lvl="3">
              <a:defRPr sz="1700" b="0" i="0" strike="noStrike" cap="none" spc="0" baseline="0">
                <a:solidFill>
                  <a:srgbClr val="19252E"/>
                </a:solidFill>
                <a:latin typeface="+mn-lt"/>
                <a:ea typeface="+mn-ea"/>
                <a:cs typeface="+mn-cs"/>
              </a:defRPr>
            </a:lvl4pPr>
            <a:lvl5pPr lvl="4">
              <a:defRPr sz="1700" b="0" i="0" strike="noStrike" cap="none" spc="0" baseline="0">
                <a:solidFill>
                  <a:srgbClr val="19252E"/>
                </a:solidFill>
                <a:latin typeface="+mn-lt"/>
                <a:ea typeface="+mn-ea"/>
                <a:cs typeface="+mn-cs"/>
              </a:defRPr>
            </a:lvl5pPr>
            <a:lvl6pPr lvl="5">
              <a:defRPr sz="1700" b="0" i="0" strike="noStrike" cap="none" spc="0" baseline="0">
                <a:solidFill>
                  <a:srgbClr val="19252E"/>
                </a:solidFill>
                <a:latin typeface="+mn-lt"/>
                <a:ea typeface="+mn-ea"/>
                <a:cs typeface="+mn-cs"/>
              </a:defRPr>
            </a:lvl6pPr>
            <a:lvl7pPr lvl="6">
              <a:defRPr sz="1700" b="0" i="0" strike="noStrike" cap="none" spc="0" baseline="0">
                <a:solidFill>
                  <a:srgbClr val="19252E"/>
                </a:solidFill>
                <a:latin typeface="+mn-lt"/>
                <a:ea typeface="+mn-ea"/>
                <a:cs typeface="+mn-cs"/>
              </a:defRPr>
            </a:lvl7pPr>
            <a:lvl8pPr lvl="7">
              <a:defRPr sz="1700" b="0" i="0" strike="noStrike" cap="none" spc="0" baseline="0">
                <a:solidFill>
                  <a:srgbClr val="19252E"/>
                </a:solidFill>
                <a:latin typeface="+mn-lt"/>
                <a:ea typeface="+mn-ea"/>
                <a:cs typeface="+mn-cs"/>
              </a:defRPr>
            </a:lvl8pPr>
            <a:lvl9pPr lvl="8">
              <a:defRPr sz="1700" b="0" i="0" strike="noStrike" cap="none" spc="0" baseline="0">
                <a:solidFill>
                  <a:srgbClr val="19252E"/>
                </a:solidFill>
                <a:latin typeface="+mn-lt"/>
                <a:ea typeface="+mn-ea"/>
                <a:cs typeface="+mn-cs"/>
              </a:defRPr>
            </a:lvl9pPr>
          </a:lstStyle>
          <a:p>
            <a:r>
              <a:rPr sz="1800" b="1" u="none" strike="noStrike">
                <a:solidFill>
                  <a:srgbClr val="000000"/>
                </a:solidFill>
                <a:latin typeface="Calibri"/>
                <a:ea typeface="Calibri"/>
                <a:cs typeface="Calibri"/>
              </a:rPr>
              <a:t>Профиль стилей человекоцентричного лидерства</a:t>
            </a:r>
            <a:endParaRPr sz="1300" b="0" u="none" strike="noStrike">
              <a:latin typeface="Arial"/>
              <a:ea typeface="Arial"/>
              <a:cs typeface="Arial"/>
            </a:endParaRPr>
          </a:p>
        </c:rich>
      </c:tx>
      <c:overlay val="0"/>
      <c:spPr>
        <a:noFill/>
        <a:ln w="0">
          <a:noFill/>
        </a:ln>
      </c:spPr>
    </c:title>
    <c:autoTitleDeleted val="0"/>
    <c:plotArea>
      <c:layout/>
      <c:pieChart>
        <c:varyColors val="1"/>
        <c:ser>
          <c:idx val="0"/>
          <c:order val="0"/>
          <c:tx>
            <c:strRef>
              <c:f>'4.Рекомендации по слаб стилю'!$K$1</c:f>
              <c:strCache>
                <c:ptCount val="1"/>
                <c:pt idx="0">
                  <c:v>Баллы</c:v>
                </c:pt>
              </c:strCache>
            </c:strRef>
          </c:tx>
          <c:spPr>
            <a:solidFill>
              <a:srgbClr val="5B9BD5"/>
            </a:solidFill>
            <a:ln w="0">
              <a:noFill/>
            </a:ln>
          </c:spPr>
          <c:dPt>
            <c:idx val="0"/>
            <c:bubble3D val="0"/>
            <c:spPr>
              <a:solidFill>
                <a:srgbClr val="E65100"/>
              </a:solidFill>
              <a:ln w="0">
                <a:noFill/>
              </a:ln>
            </c:spPr>
            <c:extLst>
              <c:ext xmlns:c16="http://schemas.microsoft.com/office/drawing/2014/chart" uri="{C3380CC4-5D6E-409C-BE32-E72D297353CC}">
                <c16:uniqueId val="{00000000-60C8-4255-900F-28725D2FC64D}"/>
              </c:ext>
            </c:extLst>
          </c:dPt>
          <c:dPt>
            <c:idx val="1"/>
            <c:bubble3D val="0"/>
            <c:spPr>
              <a:solidFill>
                <a:srgbClr val="6A1B9A"/>
              </a:solidFill>
              <a:ln w="0">
                <a:noFill/>
              </a:ln>
            </c:spPr>
            <c:extLst>
              <c:ext xmlns:c16="http://schemas.microsoft.com/office/drawing/2014/chart" uri="{C3380CC4-5D6E-409C-BE32-E72D297353CC}">
                <c16:uniqueId val="{00000001-60C8-4255-900F-28725D2FC64D}"/>
              </c:ext>
            </c:extLst>
          </c:dPt>
          <c:dPt>
            <c:idx val="2"/>
            <c:bubble3D val="0"/>
            <c:spPr>
              <a:solidFill>
                <a:srgbClr val="00897B"/>
              </a:solidFill>
              <a:ln w="0">
                <a:noFill/>
              </a:ln>
            </c:spPr>
            <c:extLst>
              <c:ext xmlns:c16="http://schemas.microsoft.com/office/drawing/2014/chart" uri="{C3380CC4-5D6E-409C-BE32-E72D297353CC}">
                <c16:uniqueId val="{00000002-60C8-4255-900F-28725D2FC64D}"/>
              </c:ext>
            </c:extLst>
          </c:dPt>
          <c:dPt>
            <c:idx val="3"/>
            <c:bubble3D val="0"/>
            <c:spPr>
              <a:solidFill>
                <a:srgbClr val="1565C0"/>
              </a:solidFill>
              <a:ln w="0">
                <a:noFill/>
              </a:ln>
            </c:spPr>
            <c:extLst>
              <c:ext xmlns:c16="http://schemas.microsoft.com/office/drawing/2014/chart" uri="{C3380CC4-5D6E-409C-BE32-E72D297353CC}">
                <c16:uniqueId val="{00000003-60C8-4255-900F-28725D2FC64D}"/>
              </c:ext>
            </c:extLst>
          </c:dPt>
          <c:cat>
            <c:strRef>
              <c:f>'4.Рекомендации по слаб стилю'!$J$2:$J$5</c:f>
              <c:strCache>
                <c:ptCount val="4"/>
                <c:pt idx="0">
                  <c:v>Целеустремленный</c:v>
                </c:pt>
                <c:pt idx="1">
                  <c:v>Вдохновляющий</c:v>
                </c:pt>
                <c:pt idx="2">
                  <c:v>Командный</c:v>
                </c:pt>
                <c:pt idx="3">
                  <c:v>Процессный</c:v>
                </c:pt>
              </c:strCache>
            </c:strRef>
          </c:cat>
          <c:val>
            <c:numRef>
              <c:f>'4.Рекомендации по слаб стилю'!$K$2:$K$5</c:f>
              <c:numCache>
                <c:formatCode>General</c:formatCode>
                <c:ptCount val="4"/>
                <c:pt idx="0">
                  <c:v>17</c:v>
                </c:pt>
                <c:pt idx="1">
                  <c:v>17</c:v>
                </c:pt>
                <c:pt idx="2">
                  <c:v>40</c:v>
                </c:pt>
                <c:pt idx="3">
                  <c:v>24</c:v>
                </c:pt>
              </c:numCache>
            </c:numRef>
          </c:val>
          <c:extLst>
            <c:ext xmlns:c16="http://schemas.microsoft.com/office/drawing/2014/chart" uri="{C3380CC4-5D6E-409C-BE32-E72D297353CC}">
              <c16:uniqueId val="{00000004-60C8-4255-900F-28725D2FC64D}"/>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200" b="0" i="0" u="none" strike="noStrike" cap="none" spc="0" baseline="0">
              <a:solidFill>
                <a:srgbClr val="19252E"/>
              </a:solidFill>
              <a:latin typeface="Calibri"/>
              <a:ea typeface="Calibri"/>
              <a:cs typeface="Calibri"/>
            </a:defRPr>
          </a:pPr>
          <a:endParaRPr lang="ru-RU"/>
        </a:p>
      </c:txPr>
    </c:legend>
    <c:plotVisOnly val="0"/>
    <c:dispBlanksAs val="zero"/>
    <c:showDLblsOverMax val="0"/>
  </c:chart>
  <c:spPr>
    <a:solidFill>
      <a:srgbClr val="FFFFFF"/>
    </a:solidFill>
    <a:ln w="9360">
      <a:solidFill>
        <a:srgbClr val="D9D9D9"/>
      </a:solidFill>
      <a:prstDash val="solid"/>
    </a:ln>
  </c:spPr>
  <c:txPr>
    <a:bodyPr/>
    <a:lstStyle/>
    <a:p>
      <a:pPr>
        <a:defRPr sz="1200" b="0" i="0" strike="noStrike" cap="none" spc="0" baseline="0">
          <a:solidFill>
            <a:srgbClr val="19252E"/>
          </a:solidFill>
          <a:latin typeface="+mn-lt"/>
          <a:ea typeface="+mn-ea"/>
          <a:cs typeface="+mn-cs"/>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defPPr/>
            <a:lvl1pPr lvl="0">
              <a:defRPr sz="1700" b="0" i="0" strike="noStrike" cap="none" spc="0" baseline="0">
                <a:solidFill>
                  <a:srgbClr val="19252E"/>
                </a:solidFill>
                <a:latin typeface="+mn-lt"/>
                <a:ea typeface="+mn-ea"/>
                <a:cs typeface="+mn-cs"/>
              </a:defRPr>
            </a:lvl1pPr>
            <a:lvl2pPr lvl="1">
              <a:defRPr sz="1700" b="0" i="0" strike="noStrike" cap="none" spc="0" baseline="0">
                <a:solidFill>
                  <a:srgbClr val="19252E"/>
                </a:solidFill>
                <a:latin typeface="+mn-lt"/>
                <a:ea typeface="+mn-ea"/>
                <a:cs typeface="+mn-cs"/>
              </a:defRPr>
            </a:lvl2pPr>
            <a:lvl3pPr lvl="2">
              <a:defRPr sz="1700" b="0" i="0" strike="noStrike" cap="none" spc="0" baseline="0">
                <a:solidFill>
                  <a:srgbClr val="19252E"/>
                </a:solidFill>
                <a:latin typeface="+mn-lt"/>
                <a:ea typeface="+mn-ea"/>
                <a:cs typeface="+mn-cs"/>
              </a:defRPr>
            </a:lvl3pPr>
            <a:lvl4pPr lvl="3">
              <a:defRPr sz="1700" b="0" i="0" strike="noStrike" cap="none" spc="0" baseline="0">
                <a:solidFill>
                  <a:srgbClr val="19252E"/>
                </a:solidFill>
                <a:latin typeface="+mn-lt"/>
                <a:ea typeface="+mn-ea"/>
                <a:cs typeface="+mn-cs"/>
              </a:defRPr>
            </a:lvl4pPr>
            <a:lvl5pPr lvl="4">
              <a:defRPr sz="1700" b="0" i="0" strike="noStrike" cap="none" spc="0" baseline="0">
                <a:solidFill>
                  <a:srgbClr val="19252E"/>
                </a:solidFill>
                <a:latin typeface="+mn-lt"/>
                <a:ea typeface="+mn-ea"/>
                <a:cs typeface="+mn-cs"/>
              </a:defRPr>
            </a:lvl5pPr>
            <a:lvl6pPr lvl="5">
              <a:defRPr sz="1700" b="0" i="0" strike="noStrike" cap="none" spc="0" baseline="0">
                <a:solidFill>
                  <a:srgbClr val="19252E"/>
                </a:solidFill>
                <a:latin typeface="+mn-lt"/>
                <a:ea typeface="+mn-ea"/>
                <a:cs typeface="+mn-cs"/>
              </a:defRPr>
            </a:lvl6pPr>
            <a:lvl7pPr lvl="6">
              <a:defRPr sz="1700" b="0" i="0" strike="noStrike" cap="none" spc="0" baseline="0">
                <a:solidFill>
                  <a:srgbClr val="19252E"/>
                </a:solidFill>
                <a:latin typeface="+mn-lt"/>
                <a:ea typeface="+mn-ea"/>
                <a:cs typeface="+mn-cs"/>
              </a:defRPr>
            </a:lvl7pPr>
            <a:lvl8pPr lvl="7">
              <a:defRPr sz="1700" b="0" i="0" strike="noStrike" cap="none" spc="0" baseline="0">
                <a:solidFill>
                  <a:srgbClr val="19252E"/>
                </a:solidFill>
                <a:latin typeface="+mn-lt"/>
                <a:ea typeface="+mn-ea"/>
                <a:cs typeface="+mn-cs"/>
              </a:defRPr>
            </a:lvl8pPr>
            <a:lvl9pPr lvl="8">
              <a:defRPr sz="1700" b="0" i="0" strike="noStrike" cap="none" spc="0" baseline="0">
                <a:solidFill>
                  <a:srgbClr val="19252E"/>
                </a:solidFill>
                <a:latin typeface="+mn-lt"/>
                <a:ea typeface="+mn-ea"/>
                <a:cs typeface="+mn-cs"/>
              </a:defRPr>
            </a:lvl9pPr>
          </a:lstStyle>
          <a:p>
            <a:r>
              <a:rPr lang="ru-RU" sz="1800" b="1" u="none" strike="noStrike">
                <a:solidFill>
                  <a:srgbClr val="000000"/>
                </a:solidFill>
                <a:latin typeface="Calibri"/>
                <a:ea typeface="Calibri"/>
                <a:cs typeface="Calibri"/>
              </a:rPr>
              <a:t>Доли стилей (%)</a:t>
            </a:r>
            <a:endParaRPr lang="ru-RU" sz="1300" b="0" u="none" strike="noStrike">
              <a:latin typeface="Arial"/>
              <a:ea typeface="Arial"/>
              <a:cs typeface="Arial"/>
            </a:endParaRPr>
          </a:p>
        </c:rich>
      </c:tx>
      <c:overlay val="0"/>
      <c:spPr>
        <a:noFill/>
        <a:ln w="0">
          <a:noFill/>
        </a:ln>
      </c:spPr>
    </c:title>
    <c:autoTitleDeleted val="0"/>
    <c:plotArea>
      <c:layout/>
      <c:pieChart>
        <c:varyColors val="1"/>
        <c:ser>
          <c:idx val="0"/>
          <c:order val="0"/>
          <c:tx>
            <c:strRef>
              <c:f>'4.Прототип отчета'!$O$1</c:f>
              <c:strCache>
                <c:ptCount val="1"/>
                <c:pt idx="0">
                  <c:v>Баллы</c:v>
                </c:pt>
              </c:strCache>
            </c:strRef>
          </c:tx>
          <c:spPr>
            <a:solidFill>
              <a:srgbClr val="5B9BD5"/>
            </a:solidFill>
            <a:ln w="0">
              <a:noFill/>
            </a:ln>
          </c:spPr>
          <c:dPt>
            <c:idx val="1"/>
            <c:bubble3D val="0"/>
            <c:spPr>
              <a:solidFill>
                <a:srgbClr val="ED7D31"/>
              </a:solidFill>
              <a:ln w="0">
                <a:noFill/>
              </a:ln>
            </c:spPr>
            <c:extLst>
              <c:ext xmlns:c16="http://schemas.microsoft.com/office/drawing/2014/chart" uri="{C3380CC4-5D6E-409C-BE32-E72D297353CC}">
                <c16:uniqueId val="{00000000-A47F-43BE-8FF0-E5F684144D98}"/>
              </c:ext>
            </c:extLst>
          </c:dPt>
          <c:dPt>
            <c:idx val="2"/>
            <c:bubble3D val="0"/>
            <c:spPr>
              <a:solidFill>
                <a:srgbClr val="A5A5A5"/>
              </a:solidFill>
              <a:ln w="0">
                <a:noFill/>
              </a:ln>
            </c:spPr>
            <c:extLst>
              <c:ext xmlns:c16="http://schemas.microsoft.com/office/drawing/2014/chart" uri="{C3380CC4-5D6E-409C-BE32-E72D297353CC}">
                <c16:uniqueId val="{00000001-A47F-43BE-8FF0-E5F684144D98}"/>
              </c:ext>
            </c:extLst>
          </c:dPt>
          <c:dPt>
            <c:idx val="3"/>
            <c:bubble3D val="0"/>
            <c:spPr>
              <a:solidFill>
                <a:srgbClr val="FFC000"/>
              </a:solidFill>
              <a:ln w="0">
                <a:noFill/>
              </a:ln>
            </c:spPr>
            <c:extLst>
              <c:ext xmlns:c16="http://schemas.microsoft.com/office/drawing/2014/chart" uri="{C3380CC4-5D6E-409C-BE32-E72D297353CC}">
                <c16:uniqueId val="{00000002-A47F-43BE-8FF0-E5F684144D98}"/>
              </c:ext>
            </c:extLst>
          </c:dPt>
          <c:cat>
            <c:strRef>
              <c:f>'4.Прототип отчета'!$N$2:$N$5</c:f>
              <c:strCache>
                <c:ptCount val="4"/>
                <c:pt idx="0">
                  <c:v>Целеустремленный</c:v>
                </c:pt>
                <c:pt idx="1">
                  <c:v>Вдохновляющий</c:v>
                </c:pt>
                <c:pt idx="2">
                  <c:v>Командный</c:v>
                </c:pt>
                <c:pt idx="3">
                  <c:v>Процессный</c:v>
                </c:pt>
              </c:strCache>
            </c:strRef>
          </c:cat>
          <c:val>
            <c:numRef>
              <c:f>'4.Прототип отчета'!$O$2:$O$5</c:f>
              <c:numCache>
                <c:formatCode>General</c:formatCode>
                <c:ptCount val="4"/>
                <c:pt idx="0">
                  <c:v>17</c:v>
                </c:pt>
                <c:pt idx="1">
                  <c:v>17</c:v>
                </c:pt>
                <c:pt idx="2">
                  <c:v>40</c:v>
                </c:pt>
                <c:pt idx="3">
                  <c:v>24</c:v>
                </c:pt>
              </c:numCache>
            </c:numRef>
          </c:val>
          <c:extLst>
            <c:ext xmlns:c16="http://schemas.microsoft.com/office/drawing/2014/chart" uri="{C3380CC4-5D6E-409C-BE32-E72D297353CC}">
              <c16:uniqueId val="{00000003-A47F-43BE-8FF0-E5F684144D98}"/>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200" b="0" i="0" u="none" strike="noStrike" cap="none" spc="0" baseline="0">
              <a:solidFill>
                <a:srgbClr val="19252E"/>
              </a:solidFill>
              <a:latin typeface="Calibri"/>
              <a:ea typeface="Calibri"/>
              <a:cs typeface="Calibri"/>
            </a:defRPr>
          </a:pPr>
          <a:endParaRPr lang="ru-RU"/>
        </a:p>
      </c:txPr>
    </c:legend>
    <c:plotVisOnly val="0"/>
    <c:dispBlanksAs val="zero"/>
    <c:showDLblsOverMax val="0"/>
  </c:chart>
  <c:spPr>
    <a:solidFill>
      <a:srgbClr val="FFFFFF"/>
    </a:solidFill>
    <a:ln w="9360">
      <a:solidFill>
        <a:srgbClr val="D9D9D9"/>
      </a:solidFill>
      <a:prstDash val="solid"/>
    </a:ln>
  </c:spPr>
  <c:txPr>
    <a:bodyPr/>
    <a:lstStyle/>
    <a:p>
      <a:pPr>
        <a:defRPr sz="1200" b="0" i="0" strike="noStrike" cap="none" spc="0" baseline="0">
          <a:solidFill>
            <a:srgbClr val="19252E"/>
          </a:solidFill>
          <a:latin typeface="+mn-lt"/>
          <a:ea typeface="+mn-ea"/>
          <a:cs typeface="+mn-cs"/>
        </a:defRPr>
      </a:pPr>
      <a:endParaRPr lang="ru-RU"/>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3972571" y="3326565"/>
    <xdr:ext cx="5781056" cy="3326504"/>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2197757" y="8111715"/>
    <xdr:ext cx="4934468" cy="2809425"/>
    <xdr:graphicFrame macro="">
      <xdr:nvGraphicFramePr>
        <xdr:cNvPr id="2" name="Chart 2">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gradFill>
        <a:gradFill>
          <a:gsLst>
            <a:gs pos="0">
              <a:schemeClr val="phClr">
                <a:lumMod val="102000"/>
                <a:tint val="94000"/>
              </a:schemeClr>
            </a:gs>
            <a:gs pos="50000">
              <a:schemeClr val="phClr">
                <a:lumMod val="100000"/>
                <a:shade val="100000"/>
              </a:schemeClr>
            </a:gs>
            <a:gs pos="100000">
              <a:schemeClr val="phClr">
                <a:lumMod val="99000"/>
                <a:shade val="78000"/>
              </a:schemeClr>
            </a:gs>
          </a:gsLst>
        </a:gradFill>
      </a:fillStyleLst>
      <a:lnStyleLst>
        <a:ln w="6350">
          <a:prstDash val="solid"/>
        </a:ln>
        <a:ln w="12700">
          <a:prstDash val="solid"/>
        </a:ln>
        <a:ln w="19050">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workbookViewId="0"/>
  </sheetViews>
  <sheetFormatPr defaultColWidth="9.109375" defaultRowHeight="14.25" customHeight="1" x14ac:dyDescent="0.3"/>
  <cols>
    <col min="1" max="1" width="4.109375" customWidth="1"/>
    <col min="2" max="2" width="122.33203125" customWidth="1"/>
    <col min="4" max="4" width="17.88671875" customWidth="1"/>
  </cols>
  <sheetData>
    <row r="1" spans="1:6" ht="60" customHeight="1" x14ac:dyDescent="0.3">
      <c r="B1" s="2" t="s">
        <v>2</v>
      </c>
    </row>
    <row r="2" spans="1:6" ht="48" customHeight="1" x14ac:dyDescent="0.3">
      <c r="B2" s="2" t="s">
        <v>7</v>
      </c>
    </row>
    <row r="3" spans="1:6" ht="50.25" customHeight="1" x14ac:dyDescent="0.3">
      <c r="B3" s="3" t="s">
        <v>27</v>
      </c>
    </row>
    <row r="4" spans="1:6" ht="54" customHeight="1" x14ac:dyDescent="0.3">
      <c r="B4" s="3" t="s">
        <v>37</v>
      </c>
    </row>
    <row r="5" spans="1:6" ht="14.4" x14ac:dyDescent="0.3">
      <c r="B5" s="1" t="s">
        <v>0</v>
      </c>
    </row>
    <row r="6" spans="1:6" ht="42.75" customHeight="1" x14ac:dyDescent="0.3">
      <c r="A6" t="s">
        <v>5</v>
      </c>
      <c r="B6" s="4" t="s">
        <v>8</v>
      </c>
      <c r="D6" s="3" t="s">
        <v>10</v>
      </c>
      <c r="E6" t="s">
        <v>12</v>
      </c>
    </row>
    <row r="7" spans="1:6" ht="14.4" x14ac:dyDescent="0.3">
      <c r="A7" t="s">
        <v>4</v>
      </c>
      <c r="D7" s="3"/>
    </row>
    <row r="8" spans="1:6" ht="14.4" x14ac:dyDescent="0.3">
      <c r="A8" t="s">
        <v>1</v>
      </c>
      <c r="D8" s="3"/>
    </row>
    <row r="9" spans="1:6" ht="14.4" x14ac:dyDescent="0.3">
      <c r="A9" t="s">
        <v>3</v>
      </c>
      <c r="D9" s="3"/>
    </row>
    <row r="10" spans="1:6" ht="14.4" x14ac:dyDescent="0.3">
      <c r="A10" t="s">
        <v>6</v>
      </c>
      <c r="D10" s="3"/>
    </row>
    <row r="11" spans="1:6" ht="42.75" customHeight="1" x14ac:dyDescent="0.3">
      <c r="A11" t="s">
        <v>11</v>
      </c>
      <c r="B11" s="4" t="s">
        <v>14</v>
      </c>
      <c r="D11" s="3" t="s">
        <v>17</v>
      </c>
    </row>
    <row r="12" spans="1:6" ht="14.4" x14ac:dyDescent="0.3">
      <c r="A12" t="s">
        <v>4</v>
      </c>
      <c r="D12" s="3"/>
    </row>
    <row r="13" spans="1:6" ht="14.4" x14ac:dyDescent="0.3">
      <c r="A13" t="s">
        <v>1</v>
      </c>
      <c r="D13" s="3"/>
    </row>
    <row r="14" spans="1:6" ht="14.4" x14ac:dyDescent="0.3">
      <c r="A14" t="s">
        <v>3</v>
      </c>
      <c r="D14" s="3"/>
    </row>
    <row r="15" spans="1:6" ht="14.4" x14ac:dyDescent="0.3">
      <c r="A15" t="s">
        <v>6</v>
      </c>
      <c r="D15" s="3"/>
      <c r="F15" s="3"/>
    </row>
    <row r="16" spans="1:6" ht="42.75" customHeight="1" x14ac:dyDescent="0.3">
      <c r="A16" t="s">
        <v>26</v>
      </c>
      <c r="B16" s="4" t="s">
        <v>28</v>
      </c>
      <c r="D16" s="3" t="s">
        <v>22</v>
      </c>
    </row>
    <row r="17" spans="1:4" ht="14.4" x14ac:dyDescent="0.3">
      <c r="A17" t="s">
        <v>4</v>
      </c>
      <c r="D17" s="3"/>
    </row>
    <row r="18" spans="1:4" ht="14.4" x14ac:dyDescent="0.3">
      <c r="A18" t="s">
        <v>1</v>
      </c>
      <c r="D18" s="3"/>
    </row>
    <row r="19" spans="1:4" ht="14.4" x14ac:dyDescent="0.3">
      <c r="A19" t="s">
        <v>3</v>
      </c>
      <c r="D19" s="3"/>
    </row>
    <row r="20" spans="1:4" ht="14.4" x14ac:dyDescent="0.3">
      <c r="A20" t="s">
        <v>6</v>
      </c>
      <c r="D20" s="3"/>
    </row>
    <row r="21" spans="1:4" ht="28.5" customHeight="1" x14ac:dyDescent="0.3">
      <c r="A21" t="s">
        <v>21</v>
      </c>
      <c r="B21" s="4" t="s">
        <v>24</v>
      </c>
      <c r="D21" s="3" t="s">
        <v>23</v>
      </c>
    </row>
    <row r="22" spans="1:4" ht="14.4" x14ac:dyDescent="0.3">
      <c r="A22" t="s">
        <v>4</v>
      </c>
      <c r="D22" s="3"/>
    </row>
    <row r="23" spans="1:4" ht="14.4" x14ac:dyDescent="0.3">
      <c r="A23" t="s">
        <v>1</v>
      </c>
      <c r="D23" s="3"/>
    </row>
    <row r="24" spans="1:4" ht="14.4" x14ac:dyDescent="0.3">
      <c r="A24" t="s">
        <v>3</v>
      </c>
      <c r="D24" s="3"/>
    </row>
    <row r="25" spans="1:4" ht="14.4" x14ac:dyDescent="0.3">
      <c r="A25" t="s">
        <v>6</v>
      </c>
      <c r="D25" s="3"/>
    </row>
    <row r="26" spans="1:4" ht="42.75" customHeight="1" x14ac:dyDescent="0.3">
      <c r="A26" t="s">
        <v>13</v>
      </c>
      <c r="B26" s="4" t="s">
        <v>18</v>
      </c>
      <c r="D26" s="3" t="s">
        <v>10</v>
      </c>
    </row>
    <row r="27" spans="1:4" ht="14.4" x14ac:dyDescent="0.3">
      <c r="A27" t="s">
        <v>4</v>
      </c>
      <c r="D27" s="3"/>
    </row>
    <row r="28" spans="1:4" ht="14.4" x14ac:dyDescent="0.3">
      <c r="A28" t="s">
        <v>1</v>
      </c>
      <c r="D28" s="3"/>
    </row>
    <row r="29" spans="1:4" ht="14.4" x14ac:dyDescent="0.3">
      <c r="A29" t="s">
        <v>3</v>
      </c>
      <c r="D29" s="3"/>
    </row>
    <row r="30" spans="1:4" ht="14.4" x14ac:dyDescent="0.3">
      <c r="A30" t="s">
        <v>6</v>
      </c>
      <c r="D30" s="3"/>
    </row>
    <row r="31" spans="1:4" ht="42.75" customHeight="1" x14ac:dyDescent="0.3">
      <c r="A31" t="s">
        <v>30</v>
      </c>
      <c r="B31" s="4" t="s">
        <v>32</v>
      </c>
      <c r="D31" s="3" t="s">
        <v>17</v>
      </c>
    </row>
    <row r="32" spans="1:4" ht="14.4" x14ac:dyDescent="0.3">
      <c r="A32" t="s">
        <v>4</v>
      </c>
      <c r="D32" s="3"/>
    </row>
    <row r="33" spans="1:4" ht="14.4" x14ac:dyDescent="0.3">
      <c r="A33" t="s">
        <v>1</v>
      </c>
      <c r="D33" s="3"/>
    </row>
    <row r="34" spans="1:4" ht="14.4" x14ac:dyDescent="0.3">
      <c r="A34" t="s">
        <v>3</v>
      </c>
      <c r="D34" s="3"/>
    </row>
    <row r="35" spans="1:4" ht="14.4" x14ac:dyDescent="0.3">
      <c r="A35" t="s">
        <v>6</v>
      </c>
      <c r="D35" s="3"/>
    </row>
    <row r="36" spans="1:4" ht="42.75" customHeight="1" x14ac:dyDescent="0.3">
      <c r="A36" t="s">
        <v>15</v>
      </c>
      <c r="B36" s="4" t="s">
        <v>19</v>
      </c>
      <c r="D36" s="3" t="s">
        <v>22</v>
      </c>
    </row>
    <row r="37" spans="1:4" ht="14.4" x14ac:dyDescent="0.3">
      <c r="A37" t="s">
        <v>4</v>
      </c>
      <c r="D37" s="3"/>
    </row>
    <row r="38" spans="1:4" ht="14.4" x14ac:dyDescent="0.3">
      <c r="A38" t="s">
        <v>1</v>
      </c>
      <c r="D38" s="3"/>
    </row>
    <row r="39" spans="1:4" ht="14.4" x14ac:dyDescent="0.3">
      <c r="A39" t="s">
        <v>3</v>
      </c>
      <c r="D39" s="3"/>
    </row>
    <row r="40" spans="1:4" ht="14.4" x14ac:dyDescent="0.3">
      <c r="A40" t="s">
        <v>6</v>
      </c>
      <c r="D40" s="3"/>
    </row>
    <row r="41" spans="1:4" ht="42.75" customHeight="1" x14ac:dyDescent="0.3">
      <c r="A41" t="s">
        <v>29</v>
      </c>
      <c r="B41" s="4" t="s">
        <v>31</v>
      </c>
      <c r="D41" s="3" t="s">
        <v>23</v>
      </c>
    </row>
    <row r="42" spans="1:4" ht="14.4" x14ac:dyDescent="0.3">
      <c r="A42" t="s">
        <v>4</v>
      </c>
      <c r="D42" s="3"/>
    </row>
    <row r="43" spans="1:4" ht="14.4" x14ac:dyDescent="0.3">
      <c r="A43" t="s">
        <v>1</v>
      </c>
      <c r="D43" s="3"/>
    </row>
    <row r="44" spans="1:4" ht="14.4" x14ac:dyDescent="0.3">
      <c r="A44" t="s">
        <v>3</v>
      </c>
    </row>
    <row r="45" spans="1:4" ht="14.4" x14ac:dyDescent="0.3">
      <c r="A45" t="s">
        <v>6</v>
      </c>
    </row>
    <row r="46" spans="1:4" ht="28.5" customHeight="1" x14ac:dyDescent="0.3">
      <c r="A46" t="s">
        <v>33</v>
      </c>
      <c r="B46" s="4" t="s">
        <v>34</v>
      </c>
      <c r="D46" s="3" t="s">
        <v>10</v>
      </c>
    </row>
    <row r="47" spans="1:4" ht="14.4" x14ac:dyDescent="0.3">
      <c r="A47" t="s">
        <v>4</v>
      </c>
    </row>
    <row r="48" spans="1:4" ht="14.4" x14ac:dyDescent="0.3">
      <c r="A48" t="s">
        <v>1</v>
      </c>
    </row>
    <row r="49" spans="1:4" ht="14.4" x14ac:dyDescent="0.3">
      <c r="A49" t="s">
        <v>3</v>
      </c>
    </row>
    <row r="50" spans="1:4" ht="14.4" x14ac:dyDescent="0.3">
      <c r="A50" t="s">
        <v>6</v>
      </c>
    </row>
    <row r="51" spans="1:4" ht="57" customHeight="1" x14ac:dyDescent="0.3">
      <c r="A51" t="s">
        <v>9</v>
      </c>
      <c r="B51" s="4" t="s">
        <v>25</v>
      </c>
      <c r="D51" s="3" t="s">
        <v>17</v>
      </c>
    </row>
    <row r="52" spans="1:4" ht="14.4" x14ac:dyDescent="0.3">
      <c r="A52" t="s">
        <v>4</v>
      </c>
    </row>
    <row r="53" spans="1:4" ht="14.4" x14ac:dyDescent="0.3">
      <c r="A53" t="s">
        <v>1</v>
      </c>
    </row>
    <row r="54" spans="1:4" ht="14.4" x14ac:dyDescent="0.3">
      <c r="A54" t="s">
        <v>3</v>
      </c>
    </row>
    <row r="55" spans="1:4" ht="14.4" x14ac:dyDescent="0.3">
      <c r="A55" t="s">
        <v>6</v>
      </c>
    </row>
    <row r="56" spans="1:4" ht="14.4" x14ac:dyDescent="0.3">
      <c r="A56" t="s">
        <v>35</v>
      </c>
      <c r="B56" t="s">
        <v>36</v>
      </c>
      <c r="D56" s="3" t="s">
        <v>22</v>
      </c>
    </row>
    <row r="57" spans="1:4" ht="14.4" x14ac:dyDescent="0.3">
      <c r="A57" t="s">
        <v>4</v>
      </c>
    </row>
    <row r="58" spans="1:4" ht="14.4" x14ac:dyDescent="0.3">
      <c r="A58" t="s">
        <v>1</v>
      </c>
    </row>
    <row r="59" spans="1:4" ht="14.4" x14ac:dyDescent="0.3">
      <c r="A59" t="s">
        <v>3</v>
      </c>
    </row>
    <row r="60" spans="1:4" ht="14.4" x14ac:dyDescent="0.3">
      <c r="A60" t="s">
        <v>6</v>
      </c>
    </row>
    <row r="61" spans="1:4" ht="42.75" customHeight="1" x14ac:dyDescent="0.3">
      <c r="A61" t="s">
        <v>16</v>
      </c>
      <c r="B61" s="4" t="s">
        <v>20</v>
      </c>
      <c r="D61" s="3" t="s">
        <v>23</v>
      </c>
    </row>
    <row r="62" spans="1:4" ht="14.4" x14ac:dyDescent="0.3">
      <c r="A62" t="s">
        <v>4</v>
      </c>
    </row>
    <row r="63" spans="1:4" ht="14.4" x14ac:dyDescent="0.3">
      <c r="A63" t="s">
        <v>1</v>
      </c>
    </row>
    <row r="64" spans="1:4" ht="14.4" x14ac:dyDescent="0.3">
      <c r="A64" t="s">
        <v>3</v>
      </c>
    </row>
    <row r="65" spans="1:1" ht="14.4" x14ac:dyDescent="0.3">
      <c r="A65" t="s">
        <v>6</v>
      </c>
    </row>
  </sheetData>
  <pageMargins left="0.70000004768371582" right="0.70000004768371582" top="0.75" bottom="0.75" header="0.5118110179901123" footer="0.5118110179901123"/>
  <pageSetup paperSize="9"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256"/>
  <sheetViews>
    <sheetView topLeftCell="A16" workbookViewId="0">
      <selection activeCell="D2" sqref="D2"/>
    </sheetView>
  </sheetViews>
  <sheetFormatPr defaultColWidth="9.109375" defaultRowHeight="14.25" customHeight="1" x14ac:dyDescent="0.3"/>
  <cols>
    <col min="2" max="2" width="138.6640625" customWidth="1"/>
    <col min="3" max="3" width="22.33203125" customWidth="1"/>
    <col min="4" max="4" width="39.33203125" customWidth="1"/>
    <col min="5" max="5" width="68.33203125" style="76" customWidth="1"/>
  </cols>
  <sheetData>
    <row r="1" spans="1:38" ht="357" customHeight="1" x14ac:dyDescent="0.3">
      <c r="A1" s="5"/>
      <c r="B1" s="79" t="s">
        <v>201</v>
      </c>
      <c r="C1" s="5"/>
      <c r="D1" s="13"/>
      <c r="E1" s="72"/>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row>
    <row r="2" spans="1:38" ht="69" customHeight="1" x14ac:dyDescent="0.3">
      <c r="A2" s="5"/>
      <c r="B2" s="12" t="s">
        <v>150</v>
      </c>
      <c r="C2" s="5"/>
      <c r="D2" s="14"/>
      <c r="E2" s="72"/>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row>
    <row r="3" spans="1:38" ht="140.4" customHeight="1" x14ac:dyDescent="0.3">
      <c r="A3" s="5"/>
      <c r="B3" s="12" t="s">
        <v>171</v>
      </c>
      <c r="C3" s="5"/>
      <c r="D3" s="5"/>
      <c r="E3" s="72"/>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row>
    <row r="4" spans="1:38" ht="55.5" customHeight="1" x14ac:dyDescent="0.3">
      <c r="A4" s="5"/>
      <c r="B4" s="16"/>
      <c r="C4" s="5" t="s">
        <v>46</v>
      </c>
      <c r="D4" s="14"/>
      <c r="E4" s="72"/>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row>
    <row r="5" spans="1:38" ht="14.4" x14ac:dyDescent="0.3">
      <c r="A5" s="5"/>
      <c r="B5" s="5"/>
      <c r="C5" s="5"/>
      <c r="D5" s="5"/>
      <c r="E5" s="72"/>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spans="1:38" ht="124.35" customHeight="1" x14ac:dyDescent="0.35">
      <c r="A6" s="24"/>
      <c r="B6" s="26" t="s">
        <v>0</v>
      </c>
      <c r="C6" s="88" t="s">
        <v>149</v>
      </c>
      <c r="D6" s="87" t="s">
        <v>200</v>
      </c>
      <c r="E6" s="73"/>
      <c r="F6" s="5"/>
      <c r="G6" s="28"/>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spans="1:38" ht="28.5" customHeight="1" x14ac:dyDescent="0.3">
      <c r="B7" s="8"/>
      <c r="D7" s="22"/>
      <c r="E7" s="72"/>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spans="1:38" ht="54.75" customHeight="1" x14ac:dyDescent="0.3">
      <c r="A8" s="30">
        <v>1</v>
      </c>
      <c r="B8" s="68" t="s">
        <v>182</v>
      </c>
      <c r="C8" s="31"/>
      <c r="D8" s="5" t="str">
        <f>IF(SUM(C9:C12)&gt;7, "Вы использовали все баллы", IF(SUM(C9:C12)&lt;7, "Вы использовали не все баллы", ""))</f>
        <v/>
      </c>
      <c r="E8" s="73"/>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spans="1:38" ht="14.4" x14ac:dyDescent="0.3">
      <c r="A9" s="32" t="s">
        <v>4</v>
      </c>
      <c r="B9" s="33" t="s">
        <v>59</v>
      </c>
      <c r="C9" s="11"/>
      <c r="D9" s="27" t="str">
        <f>"Осталось: "&amp;7-SUM(C9:C12)&amp;" из 7"</f>
        <v>Осталось: 0 из 7</v>
      </c>
      <c r="E9" s="72"/>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spans="1:38" ht="14.4" x14ac:dyDescent="0.3">
      <c r="A10" s="32" t="s">
        <v>1</v>
      </c>
      <c r="B10" s="34" t="s">
        <v>61</v>
      </c>
      <c r="C10" s="11">
        <v>7</v>
      </c>
      <c r="D10" s="5"/>
      <c r="E10" s="72"/>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spans="1:38" ht="14.4" x14ac:dyDescent="0.3">
      <c r="A11" s="32" t="s">
        <v>3</v>
      </c>
      <c r="B11" s="34" t="s">
        <v>62</v>
      </c>
      <c r="C11" s="11"/>
      <c r="D11" s="5"/>
      <c r="E11" s="72"/>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4.4" x14ac:dyDescent="0.3">
      <c r="A12" s="32" t="s">
        <v>6</v>
      </c>
      <c r="B12" s="34" t="s">
        <v>172</v>
      </c>
      <c r="C12" s="11"/>
      <c r="D12" s="5"/>
      <c r="E12" s="72"/>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spans="1:38" ht="28.5" customHeight="1" x14ac:dyDescent="0.3">
      <c r="A13" s="5"/>
      <c r="B13" s="24"/>
      <c r="C13" s="5"/>
      <c r="D13" s="22"/>
      <c r="E13" s="72"/>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row>
    <row r="14" spans="1:38" ht="14.4" x14ac:dyDescent="0.3">
      <c r="A14" s="7">
        <v>2</v>
      </c>
      <c r="B14" s="66" t="s">
        <v>183</v>
      </c>
      <c r="C14" s="35"/>
      <c r="D14" s="20" t="str">
        <f>IF(SUM(C15:C18)&gt;7, "Вы использовали все баллы", IF(SUM(C15:C18)&lt;7, "Вы использовали не все баллы", ""))</f>
        <v/>
      </c>
      <c r="E14" s="73"/>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spans="1:38" ht="14.4" x14ac:dyDescent="0.3">
      <c r="A15" s="6" t="s">
        <v>4</v>
      </c>
      <c r="B15" s="34" t="s">
        <v>151</v>
      </c>
      <c r="C15" s="11"/>
      <c r="D15" s="15" t="str">
        <f>"Осталось: "&amp;7-SUM(C15:C18)&amp;" из 7"</f>
        <v>Осталось: 0 из 7</v>
      </c>
      <c r="E15" s="74"/>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spans="1:38" ht="14.4" x14ac:dyDescent="0.3">
      <c r="A16" s="6" t="s">
        <v>1</v>
      </c>
      <c r="B16" s="33" t="s">
        <v>152</v>
      </c>
      <c r="C16" s="11"/>
      <c r="D16" s="5"/>
      <c r="E16" s="74"/>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spans="1:38" ht="14.4" x14ac:dyDescent="0.3">
      <c r="A17" s="6" t="s">
        <v>3</v>
      </c>
      <c r="B17" s="34" t="s">
        <v>153</v>
      </c>
      <c r="C17" s="11">
        <v>5</v>
      </c>
      <c r="D17" s="5"/>
      <c r="E17" s="74"/>
      <c r="F17" s="29" t="s">
        <v>54</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spans="1:38" ht="14.4" x14ac:dyDescent="0.3">
      <c r="A18" s="6" t="s">
        <v>6</v>
      </c>
      <c r="B18" s="34" t="s">
        <v>65</v>
      </c>
      <c r="C18" s="11">
        <v>2</v>
      </c>
      <c r="D18" s="5"/>
      <c r="E18" s="72"/>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spans="1:38" s="5" customFormat="1" ht="28.5" customHeight="1" x14ac:dyDescent="0.3">
      <c r="B19" s="25"/>
      <c r="D19" s="22"/>
      <c r="E19" s="72"/>
    </row>
    <row r="20" spans="1:38" ht="14.4" x14ac:dyDescent="0.3">
      <c r="A20" s="7">
        <v>3</v>
      </c>
      <c r="B20" s="36" t="s">
        <v>184</v>
      </c>
      <c r="C20" s="10"/>
      <c r="D20" s="5" t="str">
        <f>IF(SUM(C21:C24)&gt;7, "Вы использовали все баллы", IF(SUM(C21:C24)&lt;7, "Вы использовали не все баллы", ""))</f>
        <v/>
      </c>
      <c r="E20" s="7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spans="1:38" ht="14.4" x14ac:dyDescent="0.3">
      <c r="A21" s="6" t="s">
        <v>4</v>
      </c>
      <c r="B21" s="80" t="s">
        <v>173</v>
      </c>
      <c r="C21" s="11"/>
      <c r="D21" s="15" t="str">
        <f>"Осталось: "&amp;7-SUM(C21:C24)&amp;" из 7"</f>
        <v>Осталось: 0 из 7</v>
      </c>
      <c r="E21" s="73"/>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spans="1:38" ht="14.4" x14ac:dyDescent="0.3">
      <c r="A22" s="6" t="s">
        <v>1</v>
      </c>
      <c r="B22" s="80" t="s">
        <v>68</v>
      </c>
      <c r="C22" s="11">
        <v>1</v>
      </c>
      <c r="D22" s="5"/>
      <c r="E22" s="72"/>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spans="1:38" ht="14.4" x14ac:dyDescent="0.3">
      <c r="A23" s="6" t="s">
        <v>3</v>
      </c>
      <c r="B23" s="81" t="s">
        <v>174</v>
      </c>
      <c r="C23" s="11">
        <v>6</v>
      </c>
      <c r="D23" s="5"/>
      <c r="E23" s="72"/>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row>
    <row r="24" spans="1:38" ht="14.4" x14ac:dyDescent="0.3">
      <c r="A24" s="6" t="s">
        <v>6</v>
      </c>
      <c r="B24" s="34" t="s">
        <v>175</v>
      </c>
      <c r="C24" s="11"/>
      <c r="D24" s="5"/>
      <c r="E24" s="72"/>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spans="1:38" s="5" customFormat="1" ht="28.5" customHeight="1" x14ac:dyDescent="0.3">
      <c r="B25" s="25"/>
      <c r="D25" s="22"/>
      <c r="E25" s="72"/>
    </row>
    <row r="26" spans="1:38" ht="14.4" x14ac:dyDescent="0.3">
      <c r="A26" s="7">
        <v>4</v>
      </c>
      <c r="B26" s="66" t="s">
        <v>185</v>
      </c>
      <c r="C26" s="10"/>
      <c r="D26" s="5" t="str">
        <f>IF(SUM(C27:C30)&gt;7, "Вы использовали все баллы", IF(SUM(C27:C30)&lt;7, "Вы использовали не все баллы", ""))</f>
        <v/>
      </c>
      <c r="E26" s="72"/>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spans="1:38" ht="14.4" x14ac:dyDescent="0.3">
      <c r="A27" s="6" t="s">
        <v>4</v>
      </c>
      <c r="B27" s="8" t="s">
        <v>72</v>
      </c>
      <c r="C27" s="11"/>
      <c r="D27" s="86" t="str">
        <f>"Осталось: "&amp;7-SUM(C27:C30)&amp;" из 7"</f>
        <v>Осталось: 0 из 7</v>
      </c>
      <c r="E27" s="72"/>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row>
    <row r="28" spans="1:38" ht="14.4" x14ac:dyDescent="0.3">
      <c r="A28" s="6" t="s">
        <v>1</v>
      </c>
      <c r="B28" s="8" t="s">
        <v>73</v>
      </c>
      <c r="C28" s="11">
        <v>4</v>
      </c>
      <c r="D28" s="5"/>
      <c r="E28" s="72"/>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spans="1:38" ht="14.4" x14ac:dyDescent="0.3">
      <c r="A29" s="6" t="s">
        <v>3</v>
      </c>
      <c r="B29" s="8" t="s">
        <v>74</v>
      </c>
      <c r="C29" s="11"/>
      <c r="D29" s="5"/>
      <c r="E29" s="72"/>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spans="1:38" ht="14.4" x14ac:dyDescent="0.3">
      <c r="A30" s="6" t="s">
        <v>6</v>
      </c>
      <c r="B30" s="8" t="s">
        <v>75</v>
      </c>
      <c r="C30" s="11">
        <v>3</v>
      </c>
      <c r="D30" s="5"/>
      <c r="E30" s="72"/>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spans="1:38" s="5" customFormat="1" ht="28.5" customHeight="1" x14ac:dyDescent="0.3">
      <c r="B31" s="25"/>
      <c r="D31" s="22"/>
      <c r="E31" s="72"/>
    </row>
    <row r="32" spans="1:38" ht="14.4" x14ac:dyDescent="0.3">
      <c r="A32" s="7">
        <v>5</v>
      </c>
      <c r="B32" s="9" t="s">
        <v>38</v>
      </c>
      <c r="C32" s="10"/>
      <c r="D32" s="5" t="str">
        <f>IF(SUM(C33:C36)&gt;7, "Вы использовали все баллы", IF(SUM(C33:C36)&lt;7, "Вы использовали не все баллы", ""))</f>
        <v/>
      </c>
      <c r="E32" s="72"/>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spans="1:38" ht="14.4" x14ac:dyDescent="0.3">
      <c r="A33" s="6" t="s">
        <v>4</v>
      </c>
      <c r="B33" s="8" t="s">
        <v>41</v>
      </c>
      <c r="C33" s="11"/>
      <c r="D33" s="15" t="str">
        <f>"Осталось: "&amp;7-SUM(C33:C36)&amp;" из 7"</f>
        <v>Осталось: 0 из 7</v>
      </c>
      <c r="E33" s="72"/>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spans="1:38" ht="14.4" x14ac:dyDescent="0.3">
      <c r="A34" s="6" t="s">
        <v>1</v>
      </c>
      <c r="B34" s="8" t="s">
        <v>44</v>
      </c>
      <c r="C34" s="11">
        <v>3</v>
      </c>
      <c r="D34" s="5"/>
      <c r="E34" s="72"/>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spans="1:38" ht="14.4" x14ac:dyDescent="0.3">
      <c r="A35" s="6" t="s">
        <v>3</v>
      </c>
      <c r="B35" s="8" t="s">
        <v>47</v>
      </c>
      <c r="C35" s="11">
        <v>4</v>
      </c>
      <c r="D35" s="5"/>
      <c r="E35" s="72"/>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spans="1:38" ht="14.4" x14ac:dyDescent="0.3">
      <c r="A36" s="6" t="s">
        <v>6</v>
      </c>
      <c r="B36" s="8" t="s">
        <v>52</v>
      </c>
      <c r="C36" s="11"/>
      <c r="D36" s="5"/>
      <c r="E36" s="72"/>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spans="1:38" s="5" customFormat="1" ht="28.5" customHeight="1" x14ac:dyDescent="0.3">
      <c r="B37" s="25"/>
      <c r="D37" s="22"/>
      <c r="E37" s="72"/>
    </row>
    <row r="38" spans="1:38" ht="14.4" x14ac:dyDescent="0.3">
      <c r="A38" s="7">
        <v>6</v>
      </c>
      <c r="B38" s="66" t="s">
        <v>176</v>
      </c>
      <c r="C38" s="10"/>
      <c r="D38" s="5" t="str">
        <f>IF(SUM(C39:C42)&gt;7, "Вы использовали все баллы", IF(SUM(C39:C42)&lt;7, "Вы использовали не все баллы", ""))</f>
        <v/>
      </c>
      <c r="E38" s="72"/>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spans="1:38" ht="14.4" x14ac:dyDescent="0.3">
      <c r="A39" s="6" t="s">
        <v>4</v>
      </c>
      <c r="B39" s="8" t="s">
        <v>55</v>
      </c>
      <c r="C39" s="11"/>
      <c r="D39" s="15" t="str">
        <f>"Осталось: "&amp;7-SUM(C39:C42)&amp;" из 7"</f>
        <v>Осталось: 0 из 7</v>
      </c>
      <c r="E39" s="72"/>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spans="1:38" ht="14.4" x14ac:dyDescent="0.3">
      <c r="A40" s="6" t="s">
        <v>1</v>
      </c>
      <c r="B40" s="8" t="s">
        <v>58</v>
      </c>
      <c r="C40" s="11">
        <v>5</v>
      </c>
      <c r="D40" s="5"/>
      <c r="E40" s="72"/>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spans="1:38" ht="14.4" x14ac:dyDescent="0.3">
      <c r="A41" s="6" t="s">
        <v>3</v>
      </c>
      <c r="B41" s="23" t="s">
        <v>154</v>
      </c>
      <c r="C41" s="11"/>
      <c r="D41" s="5"/>
      <c r="E41" s="73"/>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spans="1:38" ht="14.4" x14ac:dyDescent="0.3">
      <c r="A42" s="6" t="s">
        <v>6</v>
      </c>
      <c r="B42" s="65" t="s">
        <v>155</v>
      </c>
      <c r="C42" s="11">
        <v>2</v>
      </c>
      <c r="D42" s="5"/>
      <c r="E42" s="72"/>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spans="1:38" ht="28.5" customHeight="1" x14ac:dyDescent="0.3">
      <c r="B43" s="8"/>
      <c r="D43" s="4"/>
    </row>
    <row r="44" spans="1:38" ht="14.4" x14ac:dyDescent="0.3">
      <c r="A44" s="7">
        <v>7</v>
      </c>
      <c r="B44" s="9" t="s">
        <v>177</v>
      </c>
      <c r="C44" s="10"/>
      <c r="D44" s="5" t="str">
        <f>IF(SUM(C45:C48)&gt;7, "Вы использовали все баллы", IF(SUM(C45:C48)&lt;7, "Вы использовали не все баллы", ""))</f>
        <v/>
      </c>
      <c r="E44" s="72"/>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spans="1:38" ht="14.4" x14ac:dyDescent="0.3">
      <c r="A45" s="6" t="s">
        <v>4</v>
      </c>
      <c r="B45" s="8" t="s">
        <v>156</v>
      </c>
      <c r="C45" s="11">
        <v>1</v>
      </c>
      <c r="D45" s="15" t="str">
        <f>"Осталось: "&amp;7-SUM(C45:C48)&amp;" из 7"</f>
        <v>Осталось: 0 из 7</v>
      </c>
      <c r="E45" s="72"/>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spans="1:38" ht="14.4" x14ac:dyDescent="0.3">
      <c r="A46" s="6" t="s">
        <v>1</v>
      </c>
      <c r="B46" s="8" t="s">
        <v>178</v>
      </c>
      <c r="C46" s="11">
        <v>3</v>
      </c>
      <c r="D46" s="5"/>
      <c r="E46" s="72"/>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spans="1:38" ht="14.4" x14ac:dyDescent="0.3">
      <c r="A47" s="6" t="s">
        <v>3</v>
      </c>
      <c r="B47" s="8" t="s">
        <v>63</v>
      </c>
      <c r="C47" s="11">
        <v>3</v>
      </c>
      <c r="D47" s="5"/>
      <c r="E47" s="72"/>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spans="1:38" ht="14.4" x14ac:dyDescent="0.3">
      <c r="A48" s="6" t="s">
        <v>6</v>
      </c>
      <c r="B48" s="8" t="s">
        <v>179</v>
      </c>
      <c r="C48" s="11"/>
      <c r="D48" s="5"/>
      <c r="E48" s="72"/>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spans="1:38" s="5" customFormat="1" ht="28.5" customHeight="1" x14ac:dyDescent="0.3">
      <c r="B49" s="24"/>
      <c r="D49" s="22"/>
      <c r="E49" s="72"/>
    </row>
    <row r="50" spans="1:38" ht="14.4" x14ac:dyDescent="0.3">
      <c r="A50" s="7">
        <v>8</v>
      </c>
      <c r="B50" s="69" t="s">
        <v>181</v>
      </c>
      <c r="C50" s="10"/>
      <c r="D50" s="5" t="str">
        <f>IF(SUM(C51:C54)&gt;7, "Вы использовали все баллы", IF(SUM(C51:C54)&lt;7, "Вы использовали не все баллы", ""))</f>
        <v/>
      </c>
      <c r="E50" s="73"/>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spans="1:38" ht="14.4" x14ac:dyDescent="0.3">
      <c r="A51" s="6" t="s">
        <v>4</v>
      </c>
      <c r="B51" s="8" t="s">
        <v>157</v>
      </c>
      <c r="C51" s="11">
        <v>7</v>
      </c>
      <c r="D51" s="15" t="str">
        <f>"Осталось: "&amp;7-SUM(C51:C54)&amp;" из 7"</f>
        <v>Осталось: 0 из 7</v>
      </c>
      <c r="E51" s="72"/>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spans="1:38" ht="14.4" x14ac:dyDescent="0.3">
      <c r="A52" s="6" t="s">
        <v>1</v>
      </c>
      <c r="B52" s="8" t="s">
        <v>186</v>
      </c>
      <c r="C52" s="11"/>
      <c r="D52" s="5"/>
      <c r="E52" s="72"/>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spans="1:38" ht="14.4" x14ac:dyDescent="0.3">
      <c r="A53" s="6" t="s">
        <v>3</v>
      </c>
      <c r="B53" s="8" t="s">
        <v>158</v>
      </c>
      <c r="C53" s="11"/>
      <c r="D53" s="5"/>
      <c r="E53" s="72"/>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spans="1:38" ht="14.4" x14ac:dyDescent="0.3">
      <c r="A54" s="6" t="s">
        <v>6</v>
      </c>
      <c r="B54" s="8" t="s">
        <v>180</v>
      </c>
      <c r="C54" s="11"/>
      <c r="D54" s="5"/>
      <c r="E54" s="72"/>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spans="1:38" ht="28.5" customHeight="1" x14ac:dyDescent="0.3">
      <c r="B55" s="8"/>
      <c r="D55" s="4"/>
    </row>
    <row r="56" spans="1:38" ht="14.4" x14ac:dyDescent="0.3">
      <c r="A56" s="7">
        <v>9</v>
      </c>
      <c r="B56" s="9" t="s">
        <v>69</v>
      </c>
      <c r="C56" s="10"/>
      <c r="D56" s="5" t="str">
        <f>IF(SUM(C57:C60)&gt;7, "Вы использовали все баллы", IF(SUM(C57:C60)&lt;7, "Вы использовали не все баллы", ""))</f>
        <v/>
      </c>
      <c r="E56" s="72"/>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spans="1:38" ht="14.4" x14ac:dyDescent="0.3">
      <c r="A57" s="6" t="s">
        <v>4</v>
      </c>
      <c r="B57" s="8" t="s">
        <v>70</v>
      </c>
      <c r="C57" s="11">
        <v>6</v>
      </c>
      <c r="D57" s="15" t="str">
        <f>"Осталось: "&amp;7-SUM(C57:C60)&amp;" из 7"</f>
        <v>Осталось: 0 из 7</v>
      </c>
      <c r="E57" s="72"/>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spans="1:38" ht="14.4" x14ac:dyDescent="0.3">
      <c r="A58" s="6" t="s">
        <v>1</v>
      </c>
      <c r="B58" s="8" t="s">
        <v>71</v>
      </c>
      <c r="C58" s="11"/>
      <c r="D58" s="5"/>
      <c r="E58" s="72"/>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spans="1:38" ht="14.4" x14ac:dyDescent="0.3">
      <c r="A59" s="6" t="s">
        <v>3</v>
      </c>
      <c r="B59" s="82" t="s">
        <v>187</v>
      </c>
      <c r="C59" s="11"/>
      <c r="D59" s="5"/>
      <c r="E59" s="72"/>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spans="1:38" ht="14.4" x14ac:dyDescent="0.3">
      <c r="A60" s="6" t="s">
        <v>6</v>
      </c>
      <c r="B60" s="82" t="s">
        <v>188</v>
      </c>
      <c r="C60" s="11">
        <v>1</v>
      </c>
      <c r="D60" s="5"/>
      <c r="E60" s="72"/>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spans="1:38" s="5" customFormat="1" ht="28.5" customHeight="1" x14ac:dyDescent="0.3">
      <c r="B61" s="25"/>
      <c r="D61" s="22"/>
      <c r="E61" s="72"/>
    </row>
    <row r="62" spans="1:38" ht="14.4" x14ac:dyDescent="0.3">
      <c r="A62" s="7">
        <v>10</v>
      </c>
      <c r="B62" s="9" t="s">
        <v>159</v>
      </c>
      <c r="C62" s="10"/>
      <c r="D62" s="5" t="str">
        <f>IF(SUM(C63:C66)&gt;7, "Вы использовали все баллы", IF(SUM(C63:C66)&lt;7, "Вы использовали не все баллы", ""))</f>
        <v/>
      </c>
      <c r="E62" s="72"/>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spans="1:38" ht="14.4" x14ac:dyDescent="0.3">
      <c r="A63" s="6" t="s">
        <v>4</v>
      </c>
      <c r="B63" s="8" t="s">
        <v>160</v>
      </c>
      <c r="C63" s="11">
        <v>7</v>
      </c>
      <c r="D63" s="15" t="str">
        <f>"Осталось: "&amp;7-SUM(C63:C66)&amp;" из 7"</f>
        <v>Осталось: 0 из 7</v>
      </c>
      <c r="E63" s="73"/>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spans="1:38" ht="14.4" x14ac:dyDescent="0.3">
      <c r="A64" s="6" t="s">
        <v>1</v>
      </c>
      <c r="B64" s="8" t="s">
        <v>162</v>
      </c>
      <c r="C64" s="11"/>
      <c r="D64" s="5"/>
      <c r="E64" s="73"/>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spans="1:38" ht="14.4" x14ac:dyDescent="0.3">
      <c r="A65" s="6" t="s">
        <v>3</v>
      </c>
      <c r="B65" s="8" t="s">
        <v>161</v>
      </c>
      <c r="C65" s="11"/>
      <c r="D65" s="5"/>
      <c r="E65" s="72"/>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spans="1:38" ht="14.4" x14ac:dyDescent="0.3">
      <c r="A66" s="6" t="s">
        <v>6</v>
      </c>
      <c r="B66" s="8" t="s">
        <v>43</v>
      </c>
      <c r="C66" s="11"/>
      <c r="D66" s="5"/>
      <c r="E66" s="72"/>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spans="1:38" ht="28.5" customHeight="1" x14ac:dyDescent="0.3">
      <c r="B67" s="4"/>
      <c r="D67" s="4"/>
    </row>
    <row r="68" spans="1:38" ht="14.4" x14ac:dyDescent="0.3">
      <c r="A68" s="17">
        <v>11</v>
      </c>
      <c r="B68" s="70" t="s">
        <v>164</v>
      </c>
      <c r="C68" s="8"/>
      <c r="D68" t="str">
        <f>IF(SUM(C69:C72)&gt;7, "Вы использовали все баллы", IF(SUM(C69:C72)&lt;7, "Вы использовали не все баллы", ""))</f>
        <v/>
      </c>
      <c r="E68" s="77"/>
    </row>
    <row r="69" spans="1:38" ht="28.8" x14ac:dyDescent="0.3">
      <c r="A69" s="8" t="s">
        <v>4</v>
      </c>
      <c r="B69" s="51" t="s">
        <v>48</v>
      </c>
      <c r="C69" s="18"/>
      <c r="D69" s="19" t="str">
        <f>"Осталось: "&amp;7-SUM(C69:C72)&amp;" из 7"</f>
        <v>Осталось: 0 из 7</v>
      </c>
    </row>
    <row r="70" spans="1:38" ht="14.4" x14ac:dyDescent="0.3">
      <c r="A70" s="8" t="s">
        <v>1</v>
      </c>
      <c r="B70" s="51" t="s">
        <v>49</v>
      </c>
      <c r="C70" s="18">
        <v>5</v>
      </c>
    </row>
    <row r="71" spans="1:38" ht="14.4" x14ac:dyDescent="0.3">
      <c r="A71" s="8" t="s">
        <v>3</v>
      </c>
      <c r="B71" s="51" t="s">
        <v>50</v>
      </c>
      <c r="C71" s="18">
        <v>2</v>
      </c>
    </row>
    <row r="72" spans="1:38" ht="14.4" x14ac:dyDescent="0.3">
      <c r="A72" s="8" t="s">
        <v>6</v>
      </c>
      <c r="B72" s="51" t="s">
        <v>51</v>
      </c>
      <c r="C72" s="18"/>
    </row>
    <row r="73" spans="1:38" s="5" customFormat="1" ht="28.5" customHeight="1" x14ac:dyDescent="0.3">
      <c r="B73" s="22"/>
      <c r="D73" s="22"/>
      <c r="E73" s="72"/>
    </row>
    <row r="74" spans="1:38" ht="14.4" x14ac:dyDescent="0.3">
      <c r="A74" s="17">
        <v>12</v>
      </c>
      <c r="B74" s="70" t="s">
        <v>189</v>
      </c>
      <c r="C74" s="8"/>
      <c r="D74" s="5" t="str">
        <f>IF(SUM(C75:C78)&gt;7, "Вы использовали все баллы", IF(SUM(C75:C78)&lt;7, "Вы использовали не все баллы", ""))</f>
        <v/>
      </c>
      <c r="E74" s="72"/>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spans="1:38" ht="14.4" x14ac:dyDescent="0.3">
      <c r="A75" s="8" t="s">
        <v>4</v>
      </c>
      <c r="B75" s="8" t="s">
        <v>53</v>
      </c>
      <c r="C75" s="18"/>
      <c r="D75" s="15" t="str">
        <f>"Осталось: "&amp;7-SUM(C75:C78)&amp;" из 7"</f>
        <v>Осталось: 0 из 7</v>
      </c>
      <c r="E75" s="72"/>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spans="1:38" ht="14.4" x14ac:dyDescent="0.3">
      <c r="A76" s="8" t="s">
        <v>1</v>
      </c>
      <c r="B76" s="8" t="s">
        <v>56</v>
      </c>
      <c r="C76" s="18">
        <v>6</v>
      </c>
      <c r="D76" s="5"/>
      <c r="E76" s="72"/>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spans="1:38" ht="14.4" x14ac:dyDescent="0.3">
      <c r="A77" s="8" t="s">
        <v>3</v>
      </c>
      <c r="B77" s="8" t="s">
        <v>57</v>
      </c>
      <c r="C77" s="18">
        <v>1</v>
      </c>
      <c r="D77" s="5"/>
      <c r="E77" s="72"/>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spans="1:38" ht="14.4" x14ac:dyDescent="0.3">
      <c r="A78" s="8" t="s">
        <v>6</v>
      </c>
      <c r="B78" s="8" t="s">
        <v>60</v>
      </c>
      <c r="C78" s="18"/>
      <c r="D78" s="5"/>
      <c r="E78" s="72"/>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spans="1:38" s="5" customFormat="1" ht="28.5" customHeight="1" x14ac:dyDescent="0.3">
      <c r="B79" s="22"/>
      <c r="D79" s="22"/>
      <c r="E79" s="72"/>
    </row>
    <row r="80" spans="1:38" ht="14.4" x14ac:dyDescent="0.3">
      <c r="A80" s="17">
        <v>13</v>
      </c>
      <c r="B80" s="71" t="s">
        <v>169</v>
      </c>
      <c r="C80" s="8"/>
      <c r="D80" s="5" t="str">
        <f>IF(SUM(C81:C84)&gt;7, "Вы использовали все баллы", IF(SUM(C81:C84)&lt;7, "Вы использовали не все баллы", ""))</f>
        <v/>
      </c>
      <c r="E80" s="7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spans="1:38" ht="14.4" x14ac:dyDescent="0.3">
      <c r="A81" s="8" t="s">
        <v>4</v>
      </c>
      <c r="B81" s="67" t="s">
        <v>170</v>
      </c>
      <c r="C81" s="18"/>
      <c r="D81" s="15" t="str">
        <f>"Осталось: "&amp;7-SUM(C81:C84)&amp;" из 7"</f>
        <v>Осталось: 0 из 7</v>
      </c>
      <c r="E81" s="72"/>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spans="1:38" ht="14.4" x14ac:dyDescent="0.3">
      <c r="A82" s="8" t="s">
        <v>1</v>
      </c>
      <c r="B82" s="67" t="s">
        <v>165</v>
      </c>
      <c r="C82" s="18">
        <v>5</v>
      </c>
      <c r="D82" s="5"/>
      <c r="E82" s="72"/>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spans="1:38" ht="14.4" x14ac:dyDescent="0.3">
      <c r="A83" s="8" t="s">
        <v>3</v>
      </c>
      <c r="B83" s="67" t="s">
        <v>167</v>
      </c>
      <c r="C83" s="18">
        <v>2</v>
      </c>
      <c r="D83" s="5"/>
      <c r="E83" s="72"/>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spans="1:38" ht="14.4" x14ac:dyDescent="0.3">
      <c r="A84" s="8" t="s">
        <v>6</v>
      </c>
      <c r="B84" s="67" t="s">
        <v>168</v>
      </c>
      <c r="C84" s="18"/>
      <c r="D84" s="5"/>
      <c r="E84" s="72"/>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spans="1:38" s="5" customFormat="1" ht="28.5" customHeight="1" x14ac:dyDescent="0.3">
      <c r="D85" s="22"/>
      <c r="E85" s="72"/>
    </row>
    <row r="86" spans="1:38" ht="14.4" x14ac:dyDescent="0.3">
      <c r="A86" s="17">
        <v>14</v>
      </c>
      <c r="B86" s="66" t="s">
        <v>166</v>
      </c>
      <c r="C86" s="8"/>
      <c r="D86" s="5" t="str">
        <f>IF(SUM(C87:C90)&gt;7, "Вы использовали все баллы", IF(SUM(C87:C90)&lt;7, "Вы использовали не все баллы", ""))</f>
        <v/>
      </c>
      <c r="E86" s="78"/>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spans="1:38" ht="14.4" x14ac:dyDescent="0.3">
      <c r="A87" s="8" t="s">
        <v>4</v>
      </c>
      <c r="B87" s="8" t="s">
        <v>64</v>
      </c>
      <c r="C87" s="18"/>
      <c r="D87" s="15" t="str">
        <f>"Осталось: "&amp;7-SUM(C87:C90)&amp;" из 7"</f>
        <v>Осталось: 0 из 7</v>
      </c>
      <c r="E87" s="72"/>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row r="88" spans="1:38" ht="14.4" x14ac:dyDescent="0.3">
      <c r="A88" s="8" t="s">
        <v>1</v>
      </c>
      <c r="B88" s="67" t="s">
        <v>163</v>
      </c>
      <c r="C88" s="18">
        <v>4</v>
      </c>
      <c r="D88" s="5"/>
      <c r="E88" s="78"/>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row>
    <row r="89" spans="1:38" ht="14.4" x14ac:dyDescent="0.3">
      <c r="A89" s="8" t="s">
        <v>3</v>
      </c>
      <c r="B89" s="8" t="s">
        <v>66</v>
      </c>
      <c r="C89" s="18">
        <v>3</v>
      </c>
      <c r="D89" s="5"/>
      <c r="E89" s="72"/>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row>
    <row r="90" spans="1:38" ht="14.4" x14ac:dyDescent="0.3">
      <c r="A90" s="8" t="s">
        <v>6</v>
      </c>
      <c r="B90" s="8" t="s">
        <v>67</v>
      </c>
      <c r="C90" s="18"/>
      <c r="D90" s="5"/>
      <c r="E90" s="72"/>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row>
    <row r="91" spans="1:38" ht="14.4" x14ac:dyDescent="0.3">
      <c r="D91" s="5"/>
      <c r="E91" s="72"/>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row>
    <row r="92" spans="1:38" ht="14.4" x14ac:dyDescent="0.3">
      <c r="D92" s="5"/>
      <c r="E92" s="72"/>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row>
    <row r="93" spans="1:38" ht="14.4" x14ac:dyDescent="0.3">
      <c r="D93" s="5"/>
      <c r="E93" s="72"/>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row>
    <row r="94" spans="1:38" ht="14.4" x14ac:dyDescent="0.3">
      <c r="D94" s="5"/>
      <c r="E94" s="72"/>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row>
    <row r="95" spans="1:38" ht="14.4" x14ac:dyDescent="0.3">
      <c r="D95" s="5"/>
      <c r="E95" s="72"/>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row>
    <row r="96" spans="1:38" ht="14.4" x14ac:dyDescent="0.3">
      <c r="D96" s="5"/>
      <c r="E96" s="72"/>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row>
    <row r="97" spans="4:38" ht="14.4" x14ac:dyDescent="0.3">
      <c r="D97" s="5"/>
      <c r="E97" s="72"/>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row>
    <row r="98" spans="4:38" ht="14.4" x14ac:dyDescent="0.3">
      <c r="D98" s="5"/>
      <c r="E98" s="72"/>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row>
    <row r="99" spans="4:38" ht="14.4" x14ac:dyDescent="0.3">
      <c r="D99" s="5"/>
      <c r="E99" s="72"/>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row>
    <row r="100" spans="4:38" ht="14.4" x14ac:dyDescent="0.3">
      <c r="D100" s="5"/>
      <c r="E100" s="72"/>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row>
    <row r="101" spans="4:38" ht="14.4" x14ac:dyDescent="0.3">
      <c r="D101" s="5"/>
      <c r="E101" s="72"/>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row>
    <row r="102" spans="4:38" ht="14.4" x14ac:dyDescent="0.3">
      <c r="D102" s="5"/>
      <c r="E102" s="72"/>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row>
    <row r="103" spans="4:38" ht="14.4" x14ac:dyDescent="0.3">
      <c r="D103" s="5"/>
      <c r="E103" s="72"/>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row>
    <row r="104" spans="4:38" ht="14.4" x14ac:dyDescent="0.3">
      <c r="D104" s="5"/>
      <c r="E104" s="72"/>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row>
    <row r="105" spans="4:38" ht="14.4" x14ac:dyDescent="0.3">
      <c r="D105" s="5"/>
      <c r="E105" s="72"/>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row>
    <row r="106" spans="4:38" ht="14.4" x14ac:dyDescent="0.3">
      <c r="D106" s="5"/>
      <c r="E106" s="72"/>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row>
    <row r="107" spans="4:38" ht="14.4" x14ac:dyDescent="0.3">
      <c r="D107" s="5"/>
      <c r="E107" s="72"/>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row>
    <row r="108" spans="4:38" ht="14.4" x14ac:dyDescent="0.3">
      <c r="D108" s="5"/>
      <c r="E108" s="72"/>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row>
    <row r="109" spans="4:38" ht="14.4" x14ac:dyDescent="0.3">
      <c r="D109" s="5"/>
      <c r="E109" s="72"/>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row>
    <row r="110" spans="4:38" ht="14.4" x14ac:dyDescent="0.3">
      <c r="D110" s="5"/>
      <c r="E110" s="72"/>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row>
    <row r="111" spans="4:38" ht="14.4" x14ac:dyDescent="0.3">
      <c r="D111" s="5"/>
      <c r="E111" s="72"/>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row>
    <row r="112" spans="4:38" ht="14.4" x14ac:dyDescent="0.3">
      <c r="D112" s="5"/>
      <c r="E112" s="72"/>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row>
    <row r="113" spans="4:38" ht="14.4" x14ac:dyDescent="0.3">
      <c r="D113" s="5"/>
      <c r="E113" s="72"/>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row>
    <row r="114" spans="4:38" ht="14.4" x14ac:dyDescent="0.3">
      <c r="D114" s="5"/>
      <c r="E114" s="72"/>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row>
    <row r="115" spans="4:38" ht="14.4" x14ac:dyDescent="0.3">
      <c r="D115" s="5"/>
      <c r="E115" s="72"/>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row>
    <row r="116" spans="4:38" ht="14.4" x14ac:dyDescent="0.3">
      <c r="D116" s="5"/>
      <c r="E116" s="72"/>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row>
    <row r="117" spans="4:38" ht="14.4" x14ac:dyDescent="0.3">
      <c r="D117" s="5"/>
      <c r="E117" s="72"/>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row>
    <row r="118" spans="4:38" ht="14.4" x14ac:dyDescent="0.3">
      <c r="D118" s="5"/>
      <c r="E118" s="72"/>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row>
    <row r="119" spans="4:38" ht="14.4" x14ac:dyDescent="0.3">
      <c r="D119" s="5"/>
      <c r="E119" s="72"/>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row>
    <row r="120" spans="4:38" ht="14.4" x14ac:dyDescent="0.3">
      <c r="D120" s="5"/>
      <c r="E120" s="72"/>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row>
    <row r="121" spans="4:38" ht="14.4" x14ac:dyDescent="0.3">
      <c r="D121" s="5"/>
      <c r="E121" s="72"/>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row>
    <row r="122" spans="4:38" ht="14.4" x14ac:dyDescent="0.3">
      <c r="D122" s="5"/>
      <c r="E122" s="72"/>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row>
    <row r="123" spans="4:38" ht="14.4" x14ac:dyDescent="0.3">
      <c r="D123" s="5"/>
      <c r="E123" s="72"/>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row>
    <row r="124" spans="4:38" ht="14.4" x14ac:dyDescent="0.3">
      <c r="D124" s="5"/>
      <c r="E124" s="72"/>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row>
    <row r="125" spans="4:38" ht="14.4" x14ac:dyDescent="0.3">
      <c r="D125" s="5"/>
      <c r="E125" s="72"/>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row>
    <row r="126" spans="4:38" ht="14.4" x14ac:dyDescent="0.3">
      <c r="D126" s="5"/>
      <c r="E126" s="72"/>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row>
    <row r="127" spans="4:38" ht="14.4" x14ac:dyDescent="0.3">
      <c r="D127" s="5"/>
      <c r="E127" s="72"/>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row>
    <row r="128" spans="4:38" ht="14.4" x14ac:dyDescent="0.3">
      <c r="D128" s="5"/>
      <c r="E128" s="72"/>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row>
    <row r="129" spans="4:38" ht="14.4" x14ac:dyDescent="0.3">
      <c r="D129" s="5"/>
      <c r="E129" s="72"/>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row>
    <row r="130" spans="4:38" ht="14.4" x14ac:dyDescent="0.3">
      <c r="D130" s="5"/>
      <c r="E130" s="72"/>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row>
    <row r="131" spans="4:38" ht="14.4" x14ac:dyDescent="0.3">
      <c r="D131" s="5"/>
      <c r="E131" s="72"/>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row>
    <row r="132" spans="4:38" ht="14.4" x14ac:dyDescent="0.3">
      <c r="D132" s="5"/>
      <c r="E132" s="72"/>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row>
    <row r="133" spans="4:38" ht="14.4" x14ac:dyDescent="0.3">
      <c r="D133" s="5"/>
      <c r="E133" s="72"/>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row>
    <row r="134" spans="4:38" ht="14.4" x14ac:dyDescent="0.3">
      <c r="D134" s="5"/>
      <c r="E134" s="72"/>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row>
    <row r="135" spans="4:38" ht="14.4" x14ac:dyDescent="0.3">
      <c r="D135" s="5"/>
      <c r="E135" s="72"/>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row>
    <row r="136" spans="4:38" ht="14.4" x14ac:dyDescent="0.3">
      <c r="D136" s="5"/>
      <c r="E136" s="72"/>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row>
    <row r="137" spans="4:38" ht="14.4" x14ac:dyDescent="0.3">
      <c r="D137" s="5"/>
      <c r="E137" s="72"/>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row>
    <row r="138" spans="4:38" ht="14.4" x14ac:dyDescent="0.3">
      <c r="D138" s="5"/>
      <c r="E138" s="72"/>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row>
    <row r="139" spans="4:38" ht="14.4" x14ac:dyDescent="0.3">
      <c r="D139" s="5"/>
      <c r="E139" s="72"/>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row>
    <row r="140" spans="4:38" ht="14.4" x14ac:dyDescent="0.3">
      <c r="D140" s="5"/>
      <c r="E140" s="72"/>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row>
    <row r="141" spans="4:38" ht="14.4" x14ac:dyDescent="0.3">
      <c r="D141" s="5"/>
      <c r="E141" s="72"/>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row>
    <row r="142" spans="4:38" ht="14.4" x14ac:dyDescent="0.3">
      <c r="D142" s="5"/>
      <c r="E142" s="72"/>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row>
    <row r="143" spans="4:38" ht="14.4" x14ac:dyDescent="0.3">
      <c r="D143" s="5"/>
      <c r="E143" s="72"/>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row>
    <row r="144" spans="4:38" ht="14.4" x14ac:dyDescent="0.3">
      <c r="D144" s="5"/>
      <c r="E144" s="72"/>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row>
    <row r="145" spans="4:38" ht="14.4" x14ac:dyDescent="0.3">
      <c r="D145" s="5"/>
      <c r="E145" s="72"/>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row>
    <row r="146" spans="4:38" ht="14.4" x14ac:dyDescent="0.3">
      <c r="D146" s="5"/>
      <c r="E146" s="72"/>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row>
    <row r="147" spans="4:38" ht="14.4" x14ac:dyDescent="0.3">
      <c r="D147" s="5"/>
      <c r="E147" s="72"/>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row>
    <row r="148" spans="4:38" ht="14.4" x14ac:dyDescent="0.3">
      <c r="D148" s="5"/>
      <c r="E148" s="72"/>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row>
    <row r="149" spans="4:38" ht="14.4" x14ac:dyDescent="0.3">
      <c r="D149" s="5"/>
      <c r="E149" s="72"/>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row>
    <row r="150" spans="4:38" ht="14.4" x14ac:dyDescent="0.3">
      <c r="D150" s="5"/>
      <c r="E150" s="72"/>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row>
    <row r="151" spans="4:38" ht="14.4" x14ac:dyDescent="0.3">
      <c r="D151" s="5"/>
      <c r="E151" s="72"/>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row>
    <row r="152" spans="4:38" ht="14.4" x14ac:dyDescent="0.3">
      <c r="D152" s="5"/>
      <c r="E152" s="72"/>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row>
    <row r="153" spans="4:38" ht="14.4" x14ac:dyDescent="0.3">
      <c r="D153" s="5"/>
      <c r="E153" s="72"/>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row>
    <row r="154" spans="4:38" ht="14.4" x14ac:dyDescent="0.3">
      <c r="D154" s="5"/>
      <c r="E154" s="72"/>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row>
    <row r="155" spans="4:38" ht="14.4" x14ac:dyDescent="0.3">
      <c r="D155" s="5"/>
      <c r="E155" s="72"/>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row>
    <row r="156" spans="4:38" ht="14.4" x14ac:dyDescent="0.3">
      <c r="D156" s="5"/>
      <c r="E156" s="72"/>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row>
    <row r="157" spans="4:38" ht="14.4" x14ac:dyDescent="0.3">
      <c r="D157" s="5"/>
      <c r="E157" s="72"/>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row>
    <row r="158" spans="4:38" ht="14.4" x14ac:dyDescent="0.3">
      <c r="D158" s="5"/>
      <c r="E158" s="72"/>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row>
    <row r="159" spans="4:38" ht="14.4" x14ac:dyDescent="0.3">
      <c r="D159" s="5"/>
      <c r="E159" s="72"/>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row>
    <row r="160" spans="4:38" ht="14.4" x14ac:dyDescent="0.3">
      <c r="D160" s="5"/>
      <c r="E160" s="72"/>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row>
    <row r="161" spans="4:38" ht="14.4" x14ac:dyDescent="0.3">
      <c r="D161" s="5"/>
      <c r="E161" s="72"/>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row>
    <row r="162" spans="4:38" ht="14.4" x14ac:dyDescent="0.3">
      <c r="D162" s="5"/>
      <c r="E162" s="72"/>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row>
    <row r="163" spans="4:38" ht="14.4" x14ac:dyDescent="0.3">
      <c r="D163" s="5"/>
      <c r="E163" s="72"/>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row>
    <row r="164" spans="4:38" ht="14.4" x14ac:dyDescent="0.3">
      <c r="D164" s="5"/>
      <c r="E164" s="72"/>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row>
    <row r="165" spans="4:38" ht="14.4" x14ac:dyDescent="0.3">
      <c r="D165" s="5"/>
      <c r="E165" s="72"/>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row>
    <row r="166" spans="4:38" ht="14.4" x14ac:dyDescent="0.3">
      <c r="D166" s="5"/>
      <c r="E166" s="72"/>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row>
    <row r="167" spans="4:38" ht="14.4" x14ac:dyDescent="0.3">
      <c r="D167" s="5"/>
      <c r="E167" s="72"/>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row>
    <row r="168" spans="4:38" ht="14.4" x14ac:dyDescent="0.3">
      <c r="D168" s="5"/>
      <c r="E168" s="72"/>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row>
    <row r="169" spans="4:38" ht="14.4" x14ac:dyDescent="0.3">
      <c r="D169" s="5"/>
      <c r="E169" s="72"/>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row>
    <row r="170" spans="4:38" ht="14.4" x14ac:dyDescent="0.3">
      <c r="D170" s="5"/>
      <c r="E170" s="72"/>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row>
    <row r="171" spans="4:38" ht="14.4" x14ac:dyDescent="0.3">
      <c r="D171" s="5"/>
      <c r="E171" s="72"/>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row>
    <row r="172" spans="4:38" ht="14.4" x14ac:dyDescent="0.3">
      <c r="D172" s="5"/>
      <c r="E172" s="72"/>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row>
    <row r="173" spans="4:38" ht="14.4" x14ac:dyDescent="0.3">
      <c r="D173" s="5"/>
      <c r="E173" s="72"/>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row>
    <row r="174" spans="4:38" ht="14.4" x14ac:dyDescent="0.3">
      <c r="D174" s="5"/>
      <c r="E174" s="72"/>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row>
    <row r="175" spans="4:38" ht="14.4" x14ac:dyDescent="0.3">
      <c r="D175" s="5"/>
      <c r="E175" s="72"/>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row>
    <row r="176" spans="4:38" ht="14.4" x14ac:dyDescent="0.3">
      <c r="D176" s="5"/>
      <c r="E176" s="72"/>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row>
    <row r="177" spans="4:38" ht="14.4" x14ac:dyDescent="0.3">
      <c r="D177" s="5"/>
      <c r="E177" s="72"/>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row>
    <row r="178" spans="4:38" ht="14.4" x14ac:dyDescent="0.3">
      <c r="D178" s="5"/>
      <c r="E178" s="72"/>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row>
    <row r="179" spans="4:38" ht="14.4" x14ac:dyDescent="0.3">
      <c r="D179" s="5"/>
      <c r="E179" s="72"/>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row>
    <row r="180" spans="4:38" ht="14.4" x14ac:dyDescent="0.3">
      <c r="D180" s="5"/>
      <c r="E180" s="72"/>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row>
    <row r="181" spans="4:38" ht="14.4" x14ac:dyDescent="0.3">
      <c r="D181" s="5"/>
      <c r="E181" s="72"/>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row>
    <row r="182" spans="4:38" ht="14.4" x14ac:dyDescent="0.3">
      <c r="D182" s="5"/>
      <c r="E182" s="72"/>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row>
    <row r="183" spans="4:38" ht="14.4" x14ac:dyDescent="0.3">
      <c r="D183" s="5"/>
      <c r="E183" s="72"/>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row>
    <row r="184" spans="4:38" ht="14.4" x14ac:dyDescent="0.3">
      <c r="D184" s="5"/>
      <c r="E184" s="72"/>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row>
    <row r="185" spans="4:38" ht="14.4" x14ac:dyDescent="0.3">
      <c r="D185" s="5"/>
      <c r="E185" s="72"/>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row>
    <row r="186" spans="4:38" ht="14.4" x14ac:dyDescent="0.3">
      <c r="D186" s="5"/>
      <c r="E186" s="72"/>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row>
    <row r="187" spans="4:38" ht="14.4" x14ac:dyDescent="0.3">
      <c r="D187" s="5"/>
      <c r="E187" s="72"/>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row>
    <row r="188" spans="4:38" ht="14.4" x14ac:dyDescent="0.3">
      <c r="D188" s="5"/>
      <c r="E188" s="72"/>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row>
    <row r="189" spans="4:38" ht="14.4" x14ac:dyDescent="0.3">
      <c r="D189" s="5"/>
      <c r="E189" s="72"/>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row>
    <row r="190" spans="4:38" ht="14.4" x14ac:dyDescent="0.3">
      <c r="D190" s="5"/>
      <c r="E190" s="72"/>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row>
    <row r="191" spans="4:38" ht="14.4" x14ac:dyDescent="0.3">
      <c r="D191" s="5"/>
      <c r="E191" s="72"/>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row>
    <row r="192" spans="4:38" ht="14.4" x14ac:dyDescent="0.3">
      <c r="D192" s="5"/>
      <c r="E192" s="72"/>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row>
    <row r="193" spans="4:38" ht="14.4" x14ac:dyDescent="0.3">
      <c r="D193" s="5"/>
      <c r="E193" s="72"/>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row>
    <row r="194" spans="4:38" ht="14.4" x14ac:dyDescent="0.3">
      <c r="D194" s="5"/>
      <c r="E194" s="72"/>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row>
    <row r="195" spans="4:38" ht="14.4" x14ac:dyDescent="0.3">
      <c r="D195" s="5"/>
      <c r="E195" s="72"/>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row>
    <row r="196" spans="4:38" ht="14.4" x14ac:dyDescent="0.3">
      <c r="D196" s="5"/>
      <c r="E196" s="72"/>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row>
    <row r="197" spans="4:38" ht="14.4" x14ac:dyDescent="0.3">
      <c r="D197" s="5"/>
      <c r="E197" s="72"/>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row>
    <row r="198" spans="4:38" ht="14.4" x14ac:dyDescent="0.3">
      <c r="D198" s="5"/>
      <c r="E198" s="72"/>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row>
    <row r="199" spans="4:38" ht="14.4" x14ac:dyDescent="0.3">
      <c r="D199" s="5"/>
      <c r="E199" s="72"/>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row>
    <row r="200" spans="4:38" ht="14.4" x14ac:dyDescent="0.3">
      <c r="D200" s="5"/>
      <c r="E200" s="72"/>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row>
    <row r="201" spans="4:38" ht="14.4" x14ac:dyDescent="0.3">
      <c r="D201" s="5"/>
      <c r="E201" s="72"/>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row>
    <row r="202" spans="4:38" ht="14.4" x14ac:dyDescent="0.3">
      <c r="D202" s="5"/>
      <c r="E202" s="72"/>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row>
    <row r="203" spans="4:38" ht="14.4" x14ac:dyDescent="0.3">
      <c r="D203" s="5"/>
      <c r="E203" s="72"/>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row>
    <row r="204" spans="4:38" ht="14.4" x14ac:dyDescent="0.3">
      <c r="D204" s="5"/>
      <c r="E204" s="72"/>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row>
    <row r="205" spans="4:38" ht="14.4" x14ac:dyDescent="0.3">
      <c r="D205" s="5"/>
      <c r="E205" s="72"/>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row>
    <row r="206" spans="4:38" ht="14.4" x14ac:dyDescent="0.3">
      <c r="D206" s="5"/>
      <c r="E206" s="72"/>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row>
    <row r="207" spans="4:38" ht="14.4" x14ac:dyDescent="0.3">
      <c r="D207" s="5"/>
      <c r="E207" s="72"/>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row>
    <row r="208" spans="4:38" ht="14.4" x14ac:dyDescent="0.3">
      <c r="D208" s="5"/>
      <c r="E208" s="72"/>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row>
    <row r="209" spans="4:38" ht="14.4" x14ac:dyDescent="0.3">
      <c r="D209" s="5"/>
      <c r="E209" s="72"/>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row>
    <row r="210" spans="4:38" ht="14.4" x14ac:dyDescent="0.3">
      <c r="D210" s="5"/>
      <c r="E210" s="72"/>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row>
    <row r="211" spans="4:38" ht="14.4" x14ac:dyDescent="0.3">
      <c r="D211" s="5"/>
      <c r="E211" s="72"/>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row>
    <row r="212" spans="4:38" ht="14.4" x14ac:dyDescent="0.3">
      <c r="D212" s="5"/>
      <c r="E212" s="72"/>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row>
    <row r="213" spans="4:38" ht="14.4" x14ac:dyDescent="0.3">
      <c r="D213" s="5"/>
      <c r="E213" s="72"/>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row>
    <row r="214" spans="4:38" ht="14.4" x14ac:dyDescent="0.3">
      <c r="D214" s="5"/>
      <c r="E214" s="72"/>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row>
    <row r="215" spans="4:38" ht="14.4" x14ac:dyDescent="0.3">
      <c r="D215" s="5"/>
      <c r="E215" s="72"/>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row>
    <row r="216" spans="4:38" ht="14.4" x14ac:dyDescent="0.3">
      <c r="D216" s="5"/>
      <c r="E216" s="72"/>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row>
    <row r="217" spans="4:38" ht="14.4" x14ac:dyDescent="0.3">
      <c r="D217" s="5"/>
      <c r="E217" s="72"/>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row>
    <row r="218" spans="4:38" ht="14.4" x14ac:dyDescent="0.3">
      <c r="D218" s="5"/>
      <c r="E218" s="72"/>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row>
    <row r="219" spans="4:38" ht="14.4" x14ac:dyDescent="0.3">
      <c r="D219" s="5"/>
      <c r="E219" s="72"/>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row>
    <row r="220" spans="4:38" ht="14.4" x14ac:dyDescent="0.3">
      <c r="D220" s="5"/>
      <c r="E220" s="72"/>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row>
    <row r="221" spans="4:38" ht="14.4" x14ac:dyDescent="0.3">
      <c r="D221" s="5"/>
      <c r="E221" s="72"/>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row>
    <row r="222" spans="4:38" ht="14.4" x14ac:dyDescent="0.3">
      <c r="D222" s="5"/>
      <c r="E222" s="72"/>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row>
    <row r="223" spans="4:38" ht="14.4" x14ac:dyDescent="0.3">
      <c r="D223" s="5"/>
      <c r="E223" s="72"/>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row>
    <row r="224" spans="4:38" ht="14.4" x14ac:dyDescent="0.3">
      <c r="D224" s="5"/>
      <c r="E224" s="72"/>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row>
    <row r="225" spans="4:38" ht="14.4" x14ac:dyDescent="0.3">
      <c r="D225" s="5"/>
      <c r="E225" s="72"/>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row>
    <row r="226" spans="4:38" ht="14.4" x14ac:dyDescent="0.3">
      <c r="D226" s="5"/>
      <c r="E226" s="72"/>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row>
    <row r="227" spans="4:38" ht="14.4" x14ac:dyDescent="0.3">
      <c r="D227" s="5"/>
      <c r="E227" s="72"/>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row>
    <row r="228" spans="4:38" ht="14.4" x14ac:dyDescent="0.3">
      <c r="D228" s="5"/>
      <c r="E228" s="72"/>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row>
    <row r="229" spans="4:38" ht="14.4" x14ac:dyDescent="0.3">
      <c r="D229" s="5"/>
      <c r="E229" s="72"/>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row>
    <row r="230" spans="4:38" ht="14.4" x14ac:dyDescent="0.3">
      <c r="D230" s="5"/>
      <c r="E230" s="72"/>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row>
    <row r="231" spans="4:38" ht="14.4" x14ac:dyDescent="0.3">
      <c r="D231" s="5"/>
      <c r="E231" s="72"/>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row>
    <row r="232" spans="4:38" ht="14.4" x14ac:dyDescent="0.3">
      <c r="D232" s="5"/>
      <c r="E232" s="72"/>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row>
    <row r="233" spans="4:38" ht="14.4" x14ac:dyDescent="0.3">
      <c r="D233" s="5"/>
      <c r="E233" s="72"/>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row>
    <row r="234" spans="4:38" ht="14.4" x14ac:dyDescent="0.3">
      <c r="D234" s="5"/>
      <c r="E234" s="72"/>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row>
    <row r="235" spans="4:38" ht="14.4" x14ac:dyDescent="0.3">
      <c r="D235" s="5"/>
      <c r="E235" s="72"/>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row>
    <row r="236" spans="4:38" ht="14.4" x14ac:dyDescent="0.3">
      <c r="D236" s="5"/>
      <c r="E236" s="72"/>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row>
    <row r="237" spans="4:38" ht="14.4" x14ac:dyDescent="0.3">
      <c r="D237" s="5"/>
      <c r="E237" s="72"/>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row>
    <row r="238" spans="4:38" ht="14.4" x14ac:dyDescent="0.3">
      <c r="D238" s="5"/>
      <c r="E238" s="72"/>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row>
    <row r="239" spans="4:38" ht="14.4" x14ac:dyDescent="0.3">
      <c r="D239" s="5"/>
      <c r="E239" s="72"/>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row>
    <row r="240" spans="4:38" ht="14.4" x14ac:dyDescent="0.3">
      <c r="D240" s="5"/>
      <c r="E240" s="72"/>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row>
    <row r="241" spans="4:38" ht="14.4" x14ac:dyDescent="0.3">
      <c r="D241" s="5"/>
      <c r="E241" s="72"/>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row>
    <row r="242" spans="4:38" ht="14.4" x14ac:dyDescent="0.3">
      <c r="D242" s="5"/>
      <c r="E242" s="72"/>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row>
    <row r="243" spans="4:38" ht="14.4" x14ac:dyDescent="0.3">
      <c r="D243" s="5"/>
      <c r="E243" s="72"/>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row>
    <row r="244" spans="4:38" ht="14.4" x14ac:dyDescent="0.3">
      <c r="D244" s="5"/>
      <c r="E244" s="72"/>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row>
    <row r="245" spans="4:38" ht="14.4" x14ac:dyDescent="0.3">
      <c r="D245" s="5"/>
      <c r="E245" s="72"/>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row>
    <row r="246" spans="4:38" ht="14.4" x14ac:dyDescent="0.3">
      <c r="D246" s="5"/>
      <c r="E246" s="72"/>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row>
    <row r="247" spans="4:38" ht="14.4" x14ac:dyDescent="0.3">
      <c r="D247" s="5"/>
      <c r="E247" s="72"/>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row>
    <row r="248" spans="4:38" ht="14.4" x14ac:dyDescent="0.3">
      <c r="D248" s="5"/>
      <c r="E248" s="72"/>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row>
    <row r="249" spans="4:38" ht="14.4" x14ac:dyDescent="0.3">
      <c r="D249" s="5"/>
      <c r="E249" s="72"/>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row>
    <row r="250" spans="4:38" ht="14.4" x14ac:dyDescent="0.3">
      <c r="D250" s="5"/>
      <c r="E250" s="72"/>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row>
    <row r="251" spans="4:38" ht="14.4" x14ac:dyDescent="0.3">
      <c r="D251" s="5"/>
      <c r="E251" s="72"/>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row>
    <row r="252" spans="4:38" ht="14.4" x14ac:dyDescent="0.3">
      <c r="D252" s="5"/>
      <c r="E252" s="72"/>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row>
    <row r="253" spans="4:38" ht="14.4" x14ac:dyDescent="0.3">
      <c r="D253" s="5"/>
      <c r="E253" s="72"/>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row>
    <row r="254" spans="4:38" ht="14.4" x14ac:dyDescent="0.3">
      <c r="D254" s="5"/>
      <c r="E254" s="72"/>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row>
    <row r="255" spans="4:38" ht="14.4" x14ac:dyDescent="0.3">
      <c r="D255" s="5"/>
      <c r="E255" s="72"/>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row>
    <row r="256" spans="4:38" ht="14.4" x14ac:dyDescent="0.3">
      <c r="D256" s="5"/>
      <c r="E256" s="72"/>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row>
  </sheetData>
  <autoFilter ref="A6:D90" xr:uid="{00000000-0009-0000-0000-000001000000}"/>
  <pageMargins left="0.70000004768371582" right="0.70000004768371582" top="0.75" bottom="0.75" header="0.5118110179901123" footer="0.5118110179901123"/>
  <pageSetup paperSize="9"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3"/>
  <sheetViews>
    <sheetView workbookViewId="0">
      <selection sqref="A1:F1"/>
    </sheetView>
  </sheetViews>
  <sheetFormatPr defaultColWidth="9.109375" defaultRowHeight="14.25" customHeight="1" x14ac:dyDescent="0.3"/>
  <cols>
    <col min="9" max="9" width="12" customWidth="1"/>
    <col min="10" max="10" width="8.6640625" customWidth="1"/>
    <col min="11" max="11" width="18.33203125" customWidth="1"/>
    <col min="12" max="12" width="17.6640625" customWidth="1"/>
    <col min="13" max="13" width="15.5546875" customWidth="1"/>
    <col min="14" max="14" width="16.6640625" customWidth="1"/>
    <col min="15" max="15" width="13.44140625" customWidth="1"/>
    <col min="22" max="22" width="9.109375" hidden="1" bestFit="1" customWidth="1"/>
  </cols>
  <sheetData>
    <row r="1" spans="1:22" ht="42.75" customHeight="1" x14ac:dyDescent="0.3">
      <c r="A1" s="89" t="s">
        <v>76</v>
      </c>
      <c r="B1" s="90"/>
      <c r="C1" s="91"/>
      <c r="D1" s="92"/>
      <c r="E1" s="93"/>
      <c r="F1" s="94"/>
      <c r="J1" t="s">
        <v>78</v>
      </c>
      <c r="K1" s="37" t="s">
        <v>40</v>
      </c>
      <c r="L1" s="37" t="s">
        <v>45</v>
      </c>
      <c r="M1" s="37" t="s">
        <v>42</v>
      </c>
      <c r="N1" s="37" t="s">
        <v>39</v>
      </c>
      <c r="O1" s="37" t="s">
        <v>82</v>
      </c>
      <c r="R1" s="40" t="s">
        <v>40</v>
      </c>
      <c r="S1" s="40" t="s">
        <v>45</v>
      </c>
      <c r="T1" s="40" t="s">
        <v>42</v>
      </c>
      <c r="U1" s="40" t="s">
        <v>39</v>
      </c>
      <c r="V1" t="s">
        <v>86</v>
      </c>
    </row>
    <row r="2" spans="1:22" ht="22.5" customHeight="1" x14ac:dyDescent="0.4">
      <c r="A2" s="95" t="s">
        <v>87</v>
      </c>
      <c r="B2" s="38">
        <v>1</v>
      </c>
      <c r="C2" s="39" t="s">
        <v>80</v>
      </c>
      <c r="D2" s="39" t="s">
        <v>81</v>
      </c>
      <c r="E2" s="39" t="s">
        <v>83</v>
      </c>
      <c r="F2" s="39" t="s">
        <v>84</v>
      </c>
      <c r="G2" s="41"/>
      <c r="H2" s="42" t="s">
        <v>89</v>
      </c>
      <c r="J2">
        <v>1</v>
      </c>
      <c r="K2" s="8">
        <f>IFERROR(VALUE(INDEX(Тест_в2!C9:C12, MATCH("A", C2:F2, 0))), 0)</f>
        <v>0</v>
      </c>
      <c r="L2" s="8">
        <f>IFERROR(VALUE(INDEX(Тест_в2!C9:C12, MATCH("B", C2:F2, 0))), 0)</f>
        <v>0</v>
      </c>
      <c r="M2" s="8">
        <f>IFERROR(VALUE(INDEX(Тест_в2!C9:C12, MATCH("C", C2:F2, 0))), 0)</f>
        <v>7</v>
      </c>
      <c r="N2" s="8">
        <f>IFERROR(VALUE(INDEX(Тест_в2!C9:C12, MATCH("D", C2:F2, 0))), 0)</f>
        <v>0</v>
      </c>
      <c r="O2">
        <f t="shared" ref="O2:O16" si="0">SUM(K2:N2)</f>
        <v>7</v>
      </c>
      <c r="R2">
        <f>K16</f>
        <v>17</v>
      </c>
      <c r="S2">
        <f>L16</f>
        <v>17</v>
      </c>
      <c r="T2">
        <f>M16</f>
        <v>40</v>
      </c>
      <c r="U2">
        <f>N16</f>
        <v>24</v>
      </c>
      <c r="V2">
        <f>MATCH(MAX(R2:U2), R2:U2, 0)</f>
        <v>3</v>
      </c>
    </row>
    <row r="3" spans="1:22" ht="22.5" customHeight="1" x14ac:dyDescent="0.4">
      <c r="A3" s="96"/>
      <c r="B3" s="38">
        <v>2</v>
      </c>
      <c r="C3" s="39" t="s">
        <v>84</v>
      </c>
      <c r="D3" s="39" t="s">
        <v>80</v>
      </c>
      <c r="E3" s="39" t="s">
        <v>81</v>
      </c>
      <c r="F3" s="39" t="s">
        <v>83</v>
      </c>
      <c r="G3" s="41"/>
      <c r="H3" s="42" t="s">
        <v>92</v>
      </c>
      <c r="J3">
        <v>2</v>
      </c>
      <c r="K3" s="8">
        <f>IFERROR(VALUE(INDEX(Тест_в2!C15:C18, MATCH("A", C3:F3, 0))), 0)</f>
        <v>0</v>
      </c>
      <c r="L3" s="8">
        <f>IFERROR(VALUE(INDEX(Тест_в2!C15:C18, MATCH("B", C3:F3, 0))), 0)</f>
        <v>2</v>
      </c>
      <c r="M3" s="8">
        <f>IFERROR(VALUE(INDEX(Тест_в2!C15:C18, MATCH("C", C3:F3, 0))), 0)</f>
        <v>5</v>
      </c>
      <c r="N3" s="8">
        <f>IFERROR(VALUE(INDEX(Тест_в2!C15:C18, MATCH("D", C3:F3, 0))), 0)</f>
        <v>0</v>
      </c>
      <c r="O3">
        <f t="shared" si="0"/>
        <v>7</v>
      </c>
    </row>
    <row r="4" spans="1:22" ht="22.5" customHeight="1" x14ac:dyDescent="0.4">
      <c r="A4" s="97"/>
      <c r="B4" s="38">
        <v>3</v>
      </c>
      <c r="C4" s="39" t="s">
        <v>81</v>
      </c>
      <c r="D4" s="39" t="s">
        <v>80</v>
      </c>
      <c r="E4" s="39" t="s">
        <v>84</v>
      </c>
      <c r="F4" s="39" t="s">
        <v>83</v>
      </c>
      <c r="G4" s="41"/>
      <c r="H4" s="42" t="s">
        <v>91</v>
      </c>
      <c r="J4">
        <v>3</v>
      </c>
      <c r="K4" s="8">
        <f>IFERROR(VALUE(INDEX(Тест_в2!C21:C24, MATCH("A", C4:F4, 0))), 0)</f>
        <v>1</v>
      </c>
      <c r="L4" s="8">
        <f>IFERROR(VALUE(INDEX(Тест_в2!C21:C24, MATCH("B", C4:F4, 0))), 0)</f>
        <v>0</v>
      </c>
      <c r="M4" s="8">
        <f>IFERROR(VALUE(INDEX(Тест_в2!C21:C24, MATCH("C", C4:F4, 0))), 0)</f>
        <v>0</v>
      </c>
      <c r="N4" s="8">
        <f>IFERROR(VALUE(INDEX(Тест_в2!C21:C24, MATCH("D", C4:F4, 0))), 0)</f>
        <v>6</v>
      </c>
      <c r="O4">
        <f t="shared" si="0"/>
        <v>7</v>
      </c>
    </row>
    <row r="5" spans="1:22" ht="22.5" customHeight="1" x14ac:dyDescent="0.4">
      <c r="A5" s="98"/>
      <c r="B5" s="38">
        <v>4</v>
      </c>
      <c r="C5" s="39" t="s">
        <v>83</v>
      </c>
      <c r="D5" s="39" t="s">
        <v>84</v>
      </c>
      <c r="E5" s="39" t="s">
        <v>80</v>
      </c>
      <c r="F5" s="39" t="s">
        <v>81</v>
      </c>
      <c r="G5" s="41"/>
      <c r="H5" s="42" t="s">
        <v>93</v>
      </c>
      <c r="J5">
        <v>4</v>
      </c>
      <c r="K5" s="8">
        <f>IFERROR(VALUE(INDEX(Тест_в2!C27:C30, MATCH("A", C5:F5, 0))), 0)</f>
        <v>0</v>
      </c>
      <c r="L5" s="8">
        <f>IFERROR(VALUE(INDEX(Тест_в2!C27:C30, MATCH("B", C5:F5, 0))), 0)</f>
        <v>0</v>
      </c>
      <c r="M5" s="8">
        <f>IFERROR(VALUE(INDEX(Тест_в2!C27:C30, MATCH("C", C5:F5, 0))), 0)</f>
        <v>3</v>
      </c>
      <c r="N5" s="8">
        <f>IFERROR(VALUE(INDEX(Тест_в2!C27:C30, MATCH("D", C5:F5, 0))), 0)</f>
        <v>4</v>
      </c>
      <c r="O5">
        <f t="shared" si="0"/>
        <v>7</v>
      </c>
    </row>
    <row r="6" spans="1:22" ht="22.5" customHeight="1" x14ac:dyDescent="0.4">
      <c r="A6" s="99"/>
      <c r="B6" s="38">
        <v>5</v>
      </c>
      <c r="C6" s="39" t="s">
        <v>81</v>
      </c>
      <c r="D6" s="39" t="s">
        <v>83</v>
      </c>
      <c r="E6" s="39" t="s">
        <v>84</v>
      </c>
      <c r="F6" s="39" t="s">
        <v>80</v>
      </c>
      <c r="G6" s="41"/>
      <c r="J6">
        <v>5</v>
      </c>
      <c r="K6" s="8">
        <f>IFERROR(VALUE(INDEX(Тест_в2!C33:C36, MATCH("A", C6:F6, 0))), 0)</f>
        <v>0</v>
      </c>
      <c r="L6" s="8">
        <f>IFERROR(VALUE(INDEX(Тест_в2!C33:C36, MATCH("B", C6:F6, 0))), 0)</f>
        <v>3</v>
      </c>
      <c r="M6" s="8">
        <f>IFERROR(VALUE(INDEX(Тест_в2!C33:C36, MATCH("C", C6:F6, 0))), 0)</f>
        <v>0</v>
      </c>
      <c r="N6" s="8">
        <f>IFERROR(VALUE(INDEX(Тест_в2!C33:C36, MATCH("D", C6:F6, 0))), 0)</f>
        <v>4</v>
      </c>
      <c r="O6">
        <f t="shared" si="0"/>
        <v>7</v>
      </c>
    </row>
    <row r="7" spans="1:22" ht="22.5" customHeight="1" x14ac:dyDescent="0.4">
      <c r="A7" s="100"/>
      <c r="B7" s="38">
        <v>6</v>
      </c>
      <c r="C7" s="39" t="s">
        <v>83</v>
      </c>
      <c r="D7" s="39" t="s">
        <v>84</v>
      </c>
      <c r="E7" s="39" t="s">
        <v>80</v>
      </c>
      <c r="F7" s="39" t="s">
        <v>81</v>
      </c>
      <c r="G7" s="41"/>
      <c r="J7">
        <v>6</v>
      </c>
      <c r="K7" s="8">
        <f>IFERROR(VALUE(INDEX(Тест_в2!C39:C42, MATCH("A", C7:F7, 0))), 0)</f>
        <v>0</v>
      </c>
      <c r="L7" s="8">
        <f>IFERROR(VALUE(INDEX(Тест_в2!C39:C42, MATCH("B", C7:F7, 0))), 0)</f>
        <v>0</v>
      </c>
      <c r="M7" s="8">
        <f>IFERROR(VALUE(INDEX(Тест_в2!C39:C42, MATCH("C", C7:F7, 0))), 0)</f>
        <v>2</v>
      </c>
      <c r="N7" s="8">
        <f>IFERROR(VALUE(INDEX(Тест_в2!C39:C42, MATCH("D", C7:F7, 0))), 0)</f>
        <v>5</v>
      </c>
      <c r="O7">
        <f t="shared" si="0"/>
        <v>7</v>
      </c>
    </row>
    <row r="8" spans="1:22" ht="22.5" customHeight="1" x14ac:dyDescent="0.4">
      <c r="A8" s="101"/>
      <c r="B8" s="38">
        <v>7</v>
      </c>
      <c r="C8" s="39" t="s">
        <v>80</v>
      </c>
      <c r="D8" s="39" t="s">
        <v>81</v>
      </c>
      <c r="E8" s="39" t="s">
        <v>83</v>
      </c>
      <c r="F8" s="39" t="s">
        <v>84</v>
      </c>
      <c r="G8" s="41"/>
      <c r="J8">
        <v>7</v>
      </c>
      <c r="K8" s="8">
        <f>IFERROR(VALUE(INDEX(Тест_в2!C45:C48, MATCH("A", C8:F8, 0))), 0)</f>
        <v>1</v>
      </c>
      <c r="L8" s="8">
        <f>IFERROR(VALUE(INDEX(Тест_в2!C45:C48, MATCH("B", C8:F8, 0))), 0)</f>
        <v>3</v>
      </c>
      <c r="M8" s="8">
        <f>IFERROR(VALUE(INDEX(Тест_в2!C45:C48, MATCH("C", C8:F8, 0))), 0)</f>
        <v>3</v>
      </c>
      <c r="N8" s="8">
        <f>IFERROR(VALUE(INDEX(Тест_в2!C45:C48, MATCH("D", C8:F8, 0))), 0)</f>
        <v>0</v>
      </c>
      <c r="O8">
        <f t="shared" si="0"/>
        <v>7</v>
      </c>
    </row>
    <row r="9" spans="1:22" ht="22.5" customHeight="1" x14ac:dyDescent="0.4">
      <c r="A9" s="102"/>
      <c r="B9" s="38">
        <v>8</v>
      </c>
      <c r="C9" s="39" t="s">
        <v>81</v>
      </c>
      <c r="D9" s="39" t="s">
        <v>83</v>
      </c>
      <c r="E9" s="39" t="s">
        <v>84</v>
      </c>
      <c r="F9" s="39" t="s">
        <v>80</v>
      </c>
      <c r="G9" s="41"/>
      <c r="J9">
        <v>8</v>
      </c>
      <c r="K9" s="8">
        <f>IFERROR(VALUE(INDEX(Тест_в2!C51:C54, MATCH("A", C9:F9, 0))), 0)</f>
        <v>0</v>
      </c>
      <c r="L9" s="8">
        <f>IFERROR(VALUE(INDEX(Тест_в2!C51:C54, MATCH("B", C9:F9, 0))), 0)</f>
        <v>0</v>
      </c>
      <c r="M9" s="8">
        <f>IFERROR(VALUE(INDEX(Тест_в2!C51:C54, MATCH("C", C9:F9, 0))), 0)</f>
        <v>7</v>
      </c>
      <c r="N9" s="8">
        <f>IFERROR(VALUE(INDEX(Тест_в2!C51:C54, MATCH("D", C9:F9, 0))), 0)</f>
        <v>0</v>
      </c>
      <c r="O9">
        <f t="shared" si="0"/>
        <v>7</v>
      </c>
    </row>
    <row r="10" spans="1:22" ht="22.5" customHeight="1" x14ac:dyDescent="0.4">
      <c r="A10" s="103"/>
      <c r="B10" s="38">
        <v>9</v>
      </c>
      <c r="C10" s="39" t="s">
        <v>81</v>
      </c>
      <c r="D10" s="39" t="s">
        <v>83</v>
      </c>
      <c r="E10" s="39" t="s">
        <v>84</v>
      </c>
      <c r="F10" s="39" t="s">
        <v>80</v>
      </c>
      <c r="G10" s="41"/>
      <c r="J10">
        <v>9</v>
      </c>
      <c r="K10" s="8">
        <f>IFERROR(VALUE(INDEX(Тест_в2!C57:C60, MATCH("A", C10:F10, 0))), 0)</f>
        <v>1</v>
      </c>
      <c r="L10" s="8">
        <f>IFERROR(VALUE(INDEX(Тест_в2!C57:C60, MATCH("B", C10:F10, 0))), 0)</f>
        <v>0</v>
      </c>
      <c r="M10" s="8">
        <f>IFERROR(VALUE(INDEX(Тест_в2!C57:C60, MATCH("C", C10:F10, 0))), 0)</f>
        <v>6</v>
      </c>
      <c r="N10" s="8">
        <f>IFERROR(VALUE(INDEX(Тест_в2!C57:C60, MATCH("D", C10:F10, 0))), 0)</f>
        <v>0</v>
      </c>
      <c r="O10">
        <f t="shared" si="0"/>
        <v>7</v>
      </c>
    </row>
    <row r="11" spans="1:22" ht="22.5" customHeight="1" x14ac:dyDescent="0.4">
      <c r="A11" s="104"/>
      <c r="B11" s="38">
        <v>10</v>
      </c>
      <c r="C11" s="39" t="s">
        <v>83</v>
      </c>
      <c r="D11" s="39" t="s">
        <v>84</v>
      </c>
      <c r="E11" s="39" t="s">
        <v>80</v>
      </c>
      <c r="F11" s="39" t="s">
        <v>81</v>
      </c>
      <c r="G11" s="41"/>
      <c r="J11">
        <v>10</v>
      </c>
      <c r="K11" s="8">
        <f>IFERROR(VALUE(INDEX(Тест_в2!C63:C66, MATCH("A", C11:F11, 0))), 0)</f>
        <v>0</v>
      </c>
      <c r="L11" s="8">
        <f>IFERROR(VALUE(INDEX(Тест_в2!C63:C66, MATCH("B", C11:F11, 0))), 0)</f>
        <v>7</v>
      </c>
      <c r="M11" s="8">
        <f>IFERROR(VALUE(INDEX(Тест_в2!C63:C66, MATCH("C", C11:F11, 0))), 0)</f>
        <v>0</v>
      </c>
      <c r="N11" s="8">
        <f>IFERROR(VALUE(INDEX(Тест_в2!C63:C66, MATCH("D", C11:F11, 0))), 0)</f>
        <v>0</v>
      </c>
      <c r="O11">
        <f t="shared" si="0"/>
        <v>7</v>
      </c>
    </row>
    <row r="12" spans="1:22" ht="22.5" customHeight="1" x14ac:dyDescent="0.4">
      <c r="A12" s="105"/>
      <c r="B12" s="38">
        <v>11</v>
      </c>
      <c r="C12" s="39" t="s">
        <v>80</v>
      </c>
      <c r="D12" s="39" t="s">
        <v>81</v>
      </c>
      <c r="E12" s="39" t="s">
        <v>83</v>
      </c>
      <c r="F12" s="39" t="s">
        <v>84</v>
      </c>
      <c r="G12" s="41"/>
      <c r="J12">
        <v>11</v>
      </c>
      <c r="K12" s="8">
        <f>IFERROR(VALUE(INDEX(Тест_в2!C69:C72, MATCH("A", C12:F12, 0))), 0)</f>
        <v>0</v>
      </c>
      <c r="L12" s="8">
        <f>IFERROR(VALUE(INDEX(Тест_в2!C69:C72, MATCH("B", C12:F12, 0))), 0)</f>
        <v>2</v>
      </c>
      <c r="M12" s="8">
        <f>IFERROR(VALUE(INDEX(Тест_в2!C69:C72, MATCH("C", C12:F12, 0))), 0)</f>
        <v>5</v>
      </c>
      <c r="N12" s="8">
        <f>IFERROR(VALUE(INDEX(Тест_в2!C69:C72, MATCH("D", C12:F12, 0))), 0)</f>
        <v>0</v>
      </c>
      <c r="O12">
        <f t="shared" si="0"/>
        <v>7</v>
      </c>
    </row>
    <row r="13" spans="1:22" ht="22.5" customHeight="1" x14ac:dyDescent="0.4">
      <c r="A13" s="106"/>
      <c r="B13" s="38">
        <v>12</v>
      </c>
      <c r="C13" s="39" t="s">
        <v>81</v>
      </c>
      <c r="D13" s="39" t="s">
        <v>80</v>
      </c>
      <c r="E13" s="39" t="s">
        <v>84</v>
      </c>
      <c r="F13" s="39" t="s">
        <v>83</v>
      </c>
      <c r="G13" s="41"/>
      <c r="J13">
        <v>12</v>
      </c>
      <c r="K13" s="8">
        <f>IFERROR(VALUE(INDEX(Тест_в2!C75:C78, MATCH("A", C13:F13, 0))), 0)</f>
        <v>6</v>
      </c>
      <c r="L13" s="8">
        <f>IFERROR(VALUE(INDEX(Тест_в2!C75:C78, MATCH("B", C13:F13, 0))), 0)</f>
        <v>0</v>
      </c>
      <c r="M13" s="8">
        <f>IFERROR(VALUE(INDEX(Тест_в2!C75:C78, MATCH("C", C13:F13, 0))), 0)</f>
        <v>0</v>
      </c>
      <c r="N13" s="8">
        <f>IFERROR(VALUE(INDEX(Тест_в2!C75:C78, MATCH("D", C13:F13, 0))), 0)</f>
        <v>1</v>
      </c>
      <c r="O13">
        <f t="shared" si="0"/>
        <v>7</v>
      </c>
    </row>
    <row r="14" spans="1:22" ht="22.5" customHeight="1" x14ac:dyDescent="0.4">
      <c r="A14" s="107"/>
      <c r="B14" s="38">
        <v>13</v>
      </c>
      <c r="C14" s="39" t="s">
        <v>84</v>
      </c>
      <c r="D14" s="39" t="s">
        <v>80</v>
      </c>
      <c r="E14" s="39" t="s">
        <v>81</v>
      </c>
      <c r="F14" s="39" t="s">
        <v>83</v>
      </c>
      <c r="G14" s="43"/>
      <c r="J14">
        <v>13</v>
      </c>
      <c r="K14" s="8">
        <f>IFERROR(VALUE(INDEX(Тест_в2!C81:C84, MATCH("A", C14:F14, 0))), 0)</f>
        <v>5</v>
      </c>
      <c r="L14" s="8">
        <f>IFERROR(VALUE(INDEX(Тест_в2!C81:C84, MATCH("B", C14:F14, 0))), 0)</f>
        <v>0</v>
      </c>
      <c r="M14" s="8">
        <f>IFERROR(VALUE(INDEX(Тест_в2!C81:C84, MATCH("C", C14:F14, 0))), 0)</f>
        <v>2</v>
      </c>
      <c r="N14" s="8">
        <f>IFERROR(VALUE(INDEX(Тест_в2!C81:C84, MATCH("D", C14:F14, 0))), 0)</f>
        <v>0</v>
      </c>
      <c r="O14">
        <f t="shared" si="0"/>
        <v>7</v>
      </c>
    </row>
    <row r="15" spans="1:22" ht="22.5" customHeight="1" x14ac:dyDescent="0.4">
      <c r="A15" s="108"/>
      <c r="B15" s="38">
        <v>14</v>
      </c>
      <c r="C15" s="39" t="s">
        <v>83</v>
      </c>
      <c r="D15" s="39" t="s">
        <v>84</v>
      </c>
      <c r="E15" s="39" t="s">
        <v>80</v>
      </c>
      <c r="F15" s="39" t="s">
        <v>81</v>
      </c>
      <c r="G15" s="43"/>
      <c r="J15">
        <v>14</v>
      </c>
      <c r="K15" s="8">
        <f>IFERROR(VALUE(INDEX(Тест_в2!C87:C90, MATCH("A", C15:F15, 0))), 0)</f>
        <v>3</v>
      </c>
      <c r="L15" s="8">
        <f>IFERROR(VALUE(INDEX(Тест_в2!C87:C90, MATCH("B", C15:F15, 0))), 0)</f>
        <v>0</v>
      </c>
      <c r="M15" s="8">
        <f>IFERROR(VALUE(INDEX(Тест_в2!C87:C90, MATCH("C", C15:F15, 0))), 0)</f>
        <v>0</v>
      </c>
      <c r="N15" s="8">
        <f>IFERROR(VALUE(INDEX(Тест_в2!C87:C90, MATCH("D", C15:F15, 0))), 0)</f>
        <v>4</v>
      </c>
      <c r="O15">
        <f t="shared" si="0"/>
        <v>7</v>
      </c>
    </row>
    <row r="16" spans="1:22" ht="58.5" customHeight="1" x14ac:dyDescent="0.4">
      <c r="A16" s="43"/>
      <c r="B16" s="109"/>
      <c r="C16" s="109"/>
      <c r="D16" s="109"/>
      <c r="E16" s="109"/>
      <c r="F16" s="109"/>
      <c r="G16" s="109"/>
      <c r="J16" s="4" t="s">
        <v>90</v>
      </c>
      <c r="K16">
        <f>SUM(K2:K15)</f>
        <v>17</v>
      </c>
      <c r="L16">
        <f>SUM(L2:L15)</f>
        <v>17</v>
      </c>
      <c r="M16">
        <f>SUM(M2:M15)</f>
        <v>40</v>
      </c>
      <c r="N16">
        <f>SUM(N2:N15)</f>
        <v>24</v>
      </c>
      <c r="O16">
        <f t="shared" si="0"/>
        <v>98</v>
      </c>
    </row>
    <row r="18" spans="11:19" ht="14.4" x14ac:dyDescent="0.3">
      <c r="K18" t="s">
        <v>79</v>
      </c>
    </row>
    <row r="20" spans="11:19" ht="14.4" x14ac:dyDescent="0.3">
      <c r="R20" t="s">
        <v>77</v>
      </c>
      <c r="S20" t="str">
        <f>INDEX(R1:U1, MATCH(MAX(R2:U2), R2:U2, 0))</f>
        <v>Командный</v>
      </c>
    </row>
    <row r="21" spans="11:19" ht="14.4" x14ac:dyDescent="0.3">
      <c r="M21">
        <f>LARGE(R2:U2, 2)</f>
        <v>24</v>
      </c>
      <c r="S21">
        <f>MAX(R2:U2)</f>
        <v>40</v>
      </c>
    </row>
    <row r="22" spans="11:19" ht="14.4" x14ac:dyDescent="0.3">
      <c r="R22" t="s">
        <v>85</v>
      </c>
      <c r="S22" t="str">
        <f>IF(S21-M21&lt;=5, INDEX(R1:U1, MATCH(M21, R2:U2, 0)), "")</f>
        <v/>
      </c>
    </row>
    <row r="23" spans="11:19" ht="14.4" x14ac:dyDescent="0.3">
      <c r="R23" t="s">
        <v>88</v>
      </c>
      <c r="S23" t="str">
        <f>IF(S22="", "", S21-M21)</f>
        <v/>
      </c>
    </row>
  </sheetData>
  <mergeCells count="3">
    <mergeCell ref="A1:F1"/>
    <mergeCell ref="A2:A15"/>
    <mergeCell ref="B16:G16"/>
  </mergeCells>
  <pageMargins left="0.70000004768371582" right="0.70000004768371582" top="0.75" bottom="0.75" header="0.5118110179901123" footer="0.5118110179901123"/>
  <pageSetup paperSize="9" fitToWidth="0"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election activeCell="C4" sqref="C4"/>
    </sheetView>
  </sheetViews>
  <sheetFormatPr defaultColWidth="9.109375" defaultRowHeight="14.25" customHeight="1" x14ac:dyDescent="0.3"/>
  <cols>
    <col min="1" max="1" width="179.109375" customWidth="1"/>
    <col min="2" max="2" width="19.33203125" customWidth="1"/>
    <col min="3" max="3" width="55.6640625" customWidth="1"/>
  </cols>
  <sheetData>
    <row r="1" spans="1:3" ht="14.4" x14ac:dyDescent="0.3">
      <c r="A1" s="21" t="s">
        <v>94</v>
      </c>
    </row>
    <row r="2" spans="1:3" ht="165" customHeight="1" x14ac:dyDescent="0.3">
      <c r="A2" s="2" t="s">
        <v>190</v>
      </c>
      <c r="C2" s="4"/>
    </row>
    <row r="3" spans="1:3" ht="18.75" customHeight="1" x14ac:dyDescent="0.3">
      <c r="A3" s="21" t="s">
        <v>95</v>
      </c>
      <c r="C3" s="4"/>
    </row>
    <row r="4" spans="1:3" ht="181.5" customHeight="1" x14ac:dyDescent="0.3">
      <c r="A4" s="2" t="s">
        <v>191</v>
      </c>
    </row>
  </sheetData>
  <pageMargins left="0.70000004768371582" right="0.70000004768371582" top="0.75" bottom="0.75" header="0.5118110179901123" footer="0.5118110179901123"/>
  <pageSetup paperSize="9"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12"/>
  <sheetViews>
    <sheetView workbookViewId="0">
      <selection activeCell="A9" sqref="A9"/>
    </sheetView>
  </sheetViews>
  <sheetFormatPr defaultColWidth="9.109375" defaultRowHeight="14.25" customHeight="1" x14ac:dyDescent="0.3"/>
  <cols>
    <col min="1" max="1" width="152.33203125" customWidth="1"/>
    <col min="2" max="2" width="55.6640625" style="44" customWidth="1"/>
    <col min="8" max="8" width="25.44140625" customWidth="1"/>
  </cols>
  <sheetData>
    <row r="2" spans="1:2" ht="14.4" x14ac:dyDescent="0.3">
      <c r="A2" s="46" t="s">
        <v>96</v>
      </c>
    </row>
    <row r="3" spans="1:2" ht="408.75" customHeight="1" x14ac:dyDescent="0.3">
      <c r="A3" s="83" t="s">
        <v>193</v>
      </c>
    </row>
    <row r="5" spans="1:2" ht="14.4" x14ac:dyDescent="0.3">
      <c r="A5" s="46" t="s">
        <v>98</v>
      </c>
    </row>
    <row r="6" spans="1:2" ht="392.25" customHeight="1" x14ac:dyDescent="0.3">
      <c r="A6" s="84" t="s">
        <v>192</v>
      </c>
    </row>
    <row r="8" spans="1:2" ht="14.4" x14ac:dyDescent="0.3">
      <c r="A8" s="45" t="s">
        <v>97</v>
      </c>
    </row>
    <row r="9" spans="1:2" ht="404.25" customHeight="1" x14ac:dyDescent="0.3">
      <c r="A9" s="84" t="s">
        <v>194</v>
      </c>
    </row>
    <row r="11" spans="1:2" ht="12" customHeight="1" x14ac:dyDescent="0.3">
      <c r="A11" s="45" t="s">
        <v>99</v>
      </c>
      <c r="B11" s="47"/>
    </row>
    <row r="12" spans="1:2" ht="408.75" customHeight="1" x14ac:dyDescent="0.3">
      <c r="A12" s="84" t="s">
        <v>195</v>
      </c>
    </row>
  </sheetData>
  <pageMargins left="0.70000004768371582" right="0.70000004768371582" top="0.75" bottom="0.75" header="0.5118110179901123" footer="0.5118110179901123"/>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workbookViewId="0">
      <selection activeCell="D3" sqref="D3"/>
    </sheetView>
  </sheetViews>
  <sheetFormatPr defaultColWidth="9.109375" defaultRowHeight="14.25" customHeight="1" x14ac:dyDescent="0.3"/>
  <cols>
    <col min="1" max="1" width="146.88671875" customWidth="1"/>
    <col min="2" max="2" width="53.33203125" customWidth="1"/>
    <col min="4" max="4" width="55.6640625" style="44" customWidth="1"/>
  </cols>
  <sheetData>
    <row r="1" spans="1:2" ht="36.75" customHeight="1" x14ac:dyDescent="0.3">
      <c r="A1" s="48" t="s">
        <v>100</v>
      </c>
    </row>
    <row r="2" spans="1:2" ht="14.4" x14ac:dyDescent="0.3">
      <c r="A2" s="49" t="s">
        <v>102</v>
      </c>
      <c r="B2" s="50" t="s">
        <v>105</v>
      </c>
    </row>
    <row r="3" spans="1:2" ht="300" customHeight="1" x14ac:dyDescent="0.3">
      <c r="A3" s="85" t="s">
        <v>196</v>
      </c>
      <c r="B3" s="52"/>
    </row>
    <row r="4" spans="1:2" ht="14.4" x14ac:dyDescent="0.3">
      <c r="A4" s="3"/>
    </row>
    <row r="5" spans="1:2" ht="14.4" x14ac:dyDescent="0.3">
      <c r="A5" s="49" t="s">
        <v>104</v>
      </c>
      <c r="B5" s="50" t="s">
        <v>105</v>
      </c>
    </row>
    <row r="6" spans="1:2" ht="326.25" customHeight="1" x14ac:dyDescent="0.3">
      <c r="A6" s="85" t="s">
        <v>197</v>
      </c>
    </row>
    <row r="7" spans="1:2" ht="14.4" x14ac:dyDescent="0.3">
      <c r="A7" s="3"/>
    </row>
    <row r="8" spans="1:2" ht="14.4" x14ac:dyDescent="0.3">
      <c r="A8" s="49" t="s">
        <v>103</v>
      </c>
      <c r="B8" s="50" t="s">
        <v>105</v>
      </c>
    </row>
    <row r="9" spans="1:2" ht="303" customHeight="1" x14ac:dyDescent="0.3">
      <c r="A9" s="85" t="s">
        <v>198</v>
      </c>
    </row>
    <row r="10" spans="1:2" ht="14.4" x14ac:dyDescent="0.3">
      <c r="A10" s="3"/>
    </row>
    <row r="11" spans="1:2" ht="14.4" x14ac:dyDescent="0.3">
      <c r="A11" s="49" t="s">
        <v>101</v>
      </c>
      <c r="B11" s="50" t="s">
        <v>105</v>
      </c>
    </row>
    <row r="12" spans="1:2" ht="336" customHeight="1" x14ac:dyDescent="0.3">
      <c r="A12" s="85" t="s">
        <v>199</v>
      </c>
    </row>
  </sheetData>
  <pageMargins left="0.70000004768371582" right="0.70000004768371582" top="0.75" bottom="0.75" header="0.5118110179901123" footer="0.5118110179901123"/>
  <pageSetup paperSize="9" fitToWidth="0"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140"/>
  <sheetViews>
    <sheetView workbookViewId="0"/>
  </sheetViews>
  <sheetFormatPr defaultColWidth="9.109375" defaultRowHeight="14.25" customHeight="1" outlineLevelRow="1" x14ac:dyDescent="0.3"/>
  <cols>
    <col min="1" max="1" width="2.6640625" customWidth="1"/>
    <col min="2" max="9" width="14.6640625" customWidth="1"/>
  </cols>
  <sheetData>
    <row r="1" spans="2:11" ht="30.75" customHeight="1" x14ac:dyDescent="0.45">
      <c r="B1" s="113" t="s">
        <v>106</v>
      </c>
      <c r="C1" s="113"/>
      <c r="D1" s="113"/>
      <c r="E1" s="113"/>
      <c r="F1" s="113"/>
      <c r="G1" s="113"/>
      <c r="H1" s="113"/>
      <c r="J1" t="s">
        <v>110</v>
      </c>
      <c r="K1" t="s">
        <v>111</v>
      </c>
    </row>
    <row r="2" spans="2:11" ht="18" customHeight="1" x14ac:dyDescent="0.3">
      <c r="J2" t="s">
        <v>40</v>
      </c>
      <c r="K2">
        <f>'Механика подсчета результатов'!R2</f>
        <v>17</v>
      </c>
    </row>
    <row r="3" spans="2:11" ht="27.75" customHeight="1" x14ac:dyDescent="0.35">
      <c r="B3" s="110" t="s">
        <v>112</v>
      </c>
      <c r="C3" s="110"/>
      <c r="D3" s="110"/>
      <c r="E3" s="110"/>
      <c r="F3" s="110"/>
      <c r="G3" s="110"/>
      <c r="H3" s="110"/>
      <c r="J3" t="s">
        <v>45</v>
      </c>
      <c r="K3">
        <f>'Механика подсчета результатов'!S2</f>
        <v>17</v>
      </c>
    </row>
    <row r="4" spans="2:11" ht="14.4" x14ac:dyDescent="0.3">
      <c r="B4" s="111">
        <f>'1. Вводная часть отчета'!B2</f>
        <v>0</v>
      </c>
      <c r="C4" s="111"/>
      <c r="D4" s="111"/>
      <c r="E4" s="111"/>
      <c r="F4" s="111"/>
      <c r="G4" s="111"/>
      <c r="H4" s="111"/>
      <c r="J4" t="s">
        <v>42</v>
      </c>
      <c r="K4">
        <f>'Механика подсчета результатов'!T2</f>
        <v>40</v>
      </c>
    </row>
    <row r="5" spans="2:11" ht="14.4" x14ac:dyDescent="0.3">
      <c r="B5" s="111"/>
      <c r="C5" s="111"/>
      <c r="D5" s="111"/>
      <c r="E5" s="111"/>
      <c r="F5" s="111"/>
      <c r="G5" s="111"/>
      <c r="H5" s="111"/>
      <c r="J5" t="s">
        <v>39</v>
      </c>
      <c r="K5">
        <f>'Механика подсчета результатов'!U2</f>
        <v>24</v>
      </c>
    </row>
    <row r="6" spans="2:11" ht="14.4" x14ac:dyDescent="0.3">
      <c r="B6" s="111"/>
      <c r="C6" s="111"/>
      <c r="D6" s="111"/>
      <c r="E6" s="111"/>
      <c r="F6" s="111"/>
      <c r="G6" s="111"/>
      <c r="H6" s="111"/>
    </row>
    <row r="7" spans="2:11" ht="14.4" x14ac:dyDescent="0.3">
      <c r="B7" s="111"/>
      <c r="C7" s="111"/>
      <c r="D7" s="111"/>
      <c r="E7" s="111"/>
      <c r="F7" s="111"/>
      <c r="G7" s="111"/>
      <c r="H7" s="111"/>
    </row>
    <row r="8" spans="2:11" ht="14.4" x14ac:dyDescent="0.3">
      <c r="B8" s="111"/>
      <c r="C8" s="111"/>
      <c r="D8" s="111"/>
      <c r="E8" s="111"/>
      <c r="F8" s="111"/>
      <c r="G8" s="111"/>
      <c r="H8" s="111"/>
    </row>
    <row r="9" spans="2:11" ht="14.4" x14ac:dyDescent="0.3">
      <c r="B9" s="111">
        <f>'1. Вводная часть отчета'!B4</f>
        <v>0</v>
      </c>
      <c r="C9" s="111"/>
      <c r="D9" s="111"/>
      <c r="E9" s="111"/>
      <c r="F9" s="111"/>
      <c r="G9" s="111"/>
      <c r="H9" s="111"/>
    </row>
    <row r="10" spans="2:11" ht="14.4" x14ac:dyDescent="0.3">
      <c r="B10" s="111"/>
      <c r="C10" s="111"/>
      <c r="D10" s="111"/>
      <c r="E10" s="111"/>
      <c r="F10" s="111"/>
      <c r="G10" s="111"/>
      <c r="H10" s="111"/>
    </row>
    <row r="11" spans="2:11" ht="14.4" x14ac:dyDescent="0.3">
      <c r="B11" s="111"/>
      <c r="C11" s="111"/>
      <c r="D11" s="111"/>
      <c r="E11" s="111"/>
      <c r="F11" s="111"/>
      <c r="G11" s="111"/>
      <c r="H11" s="111"/>
    </row>
    <row r="12" spans="2:11" ht="14.4" x14ac:dyDescent="0.3">
      <c r="B12" s="111"/>
      <c r="C12" s="111"/>
      <c r="D12" s="111"/>
      <c r="E12" s="111"/>
      <c r="F12" s="111"/>
      <c r="G12" s="111"/>
      <c r="H12" s="111"/>
    </row>
    <row r="13" spans="2:11" ht="14.4" x14ac:dyDescent="0.3">
      <c r="B13" s="111"/>
      <c r="C13" s="111"/>
      <c r="D13" s="111"/>
      <c r="E13" s="111"/>
      <c r="F13" s="111"/>
      <c r="G13" s="111"/>
      <c r="H13" s="111"/>
    </row>
    <row r="15" spans="2:11" ht="27.75" customHeight="1" x14ac:dyDescent="0.35">
      <c r="B15" s="110" t="s">
        <v>113</v>
      </c>
      <c r="C15" s="110"/>
      <c r="D15" s="110"/>
      <c r="E15" s="110"/>
      <c r="F15" s="110"/>
      <c r="G15" s="110"/>
      <c r="H15" s="110"/>
    </row>
    <row r="16" spans="2:11" ht="14.4" x14ac:dyDescent="0.3">
      <c r="B16" s="55" t="s">
        <v>116</v>
      </c>
    </row>
    <row r="17" spans="2:8" ht="14.4" x14ac:dyDescent="0.3">
      <c r="B17" s="56" t="s">
        <v>117</v>
      </c>
    </row>
    <row r="18" spans="2:8" ht="14.4" x14ac:dyDescent="0.3">
      <c r="B18" s="53" t="s">
        <v>107</v>
      </c>
    </row>
    <row r="19" spans="2:8" ht="14.4" x14ac:dyDescent="0.3">
      <c r="B19" s="54" t="s">
        <v>109</v>
      </c>
    </row>
    <row r="30" spans="2:8" ht="17.25" customHeight="1" x14ac:dyDescent="0.35">
      <c r="B30" s="114" t="str">
        <f>"Ваш ведущий стиль человекоцентричного лидерства — "&amp;'Механика подсчета результатов'!S20&amp;" ("&amp;'Механика подсчета результатов'!S21&amp;" баллов из 98)"</f>
        <v>Ваш ведущий стиль человекоцентричного лидерства — Командный (40 баллов из 98)</v>
      </c>
      <c r="C30" s="114"/>
      <c r="D30" s="114"/>
      <c r="E30" s="114"/>
      <c r="F30" s="114"/>
      <c r="G30" s="114"/>
      <c r="H30" s="114"/>
    </row>
    <row r="32" spans="2:8" ht="14.4" x14ac:dyDescent="0.3">
      <c r="B32" s="111" t="e">
        <f>IF('Механика подсчета результатов'!S20="Командный",#REF!, IF( 'Механика подсчета результатов'!S20="Целеустремленный",#REF!, IF( 'Механика подсчета результатов'!S20="Вдохновляющий",#REF!, IF( 'Механика подсчета результатов'!S20="Процессный",#REF!, ""))))</f>
        <v>#REF!</v>
      </c>
      <c r="C32" s="111"/>
      <c r="D32" s="111"/>
      <c r="E32" s="111"/>
      <c r="F32" s="111"/>
      <c r="G32" s="111"/>
      <c r="H32" s="111"/>
    </row>
    <row r="33" spans="2:8" ht="14.4" x14ac:dyDescent="0.3">
      <c r="B33" s="111"/>
      <c r="C33" s="111"/>
      <c r="D33" s="111"/>
      <c r="E33" s="111"/>
      <c r="F33" s="111"/>
      <c r="G33" s="111"/>
      <c r="H33" s="111"/>
    </row>
    <row r="34" spans="2:8" ht="14.4" x14ac:dyDescent="0.3">
      <c r="B34" s="111"/>
      <c r="C34" s="111"/>
      <c r="D34" s="111"/>
      <c r="E34" s="111"/>
      <c r="F34" s="111"/>
      <c r="G34" s="111"/>
      <c r="H34" s="111"/>
    </row>
    <row r="35" spans="2:8" ht="14.4" x14ac:dyDescent="0.3">
      <c r="B35" s="111"/>
      <c r="C35" s="111"/>
      <c r="D35" s="111"/>
      <c r="E35" s="111"/>
      <c r="F35" s="111"/>
      <c r="G35" s="111"/>
      <c r="H35" s="111"/>
    </row>
    <row r="36" spans="2:8" ht="14.4" x14ac:dyDescent="0.3">
      <c r="B36" s="112"/>
      <c r="C36" s="112"/>
      <c r="D36" s="112"/>
      <c r="E36" s="112"/>
      <c r="F36" s="112"/>
      <c r="G36" s="112"/>
      <c r="H36" s="112"/>
    </row>
    <row r="37" spans="2:8" ht="14.4" x14ac:dyDescent="0.3">
      <c r="B37" s="112"/>
      <c r="C37" s="112"/>
      <c r="D37" s="112"/>
      <c r="E37" s="112"/>
      <c r="F37" s="112"/>
      <c r="G37" s="112"/>
      <c r="H37" s="112"/>
    </row>
    <row r="38" spans="2:8" ht="14.4" x14ac:dyDescent="0.3">
      <c r="B38" s="112"/>
      <c r="C38" s="112"/>
      <c r="D38" s="112"/>
      <c r="E38" s="112"/>
      <c r="F38" s="112"/>
      <c r="G38" s="112"/>
      <c r="H38" s="112"/>
    </row>
    <row r="39" spans="2:8" ht="14.4" x14ac:dyDescent="0.3">
      <c r="B39" s="112"/>
      <c r="C39" s="112"/>
      <c r="D39" s="112"/>
      <c r="E39" s="112"/>
      <c r="F39" s="112"/>
      <c r="G39" s="112"/>
      <c r="H39" s="112"/>
    </row>
    <row r="40" spans="2:8" ht="14.4" x14ac:dyDescent="0.3">
      <c r="B40" s="112"/>
      <c r="C40" s="112"/>
      <c r="D40" s="112"/>
      <c r="E40" s="112"/>
      <c r="F40" s="112"/>
      <c r="G40" s="112"/>
      <c r="H40" s="112"/>
    </row>
    <row r="42" spans="2:8" ht="27.75" customHeight="1" x14ac:dyDescent="0.35">
      <c r="B42" s="110" t="s">
        <v>114</v>
      </c>
      <c r="C42" s="110"/>
      <c r="D42" s="110"/>
      <c r="E42" s="110"/>
      <c r="F42" s="110"/>
      <c r="G42" s="110"/>
      <c r="H42" s="110"/>
    </row>
    <row r="43" spans="2:8" ht="14.4" x14ac:dyDescent="0.3">
      <c r="B43" s="117" t="s">
        <v>115</v>
      </c>
      <c r="C43" s="117"/>
      <c r="D43" s="117"/>
      <c r="E43" s="117"/>
      <c r="F43" s="117"/>
      <c r="G43" s="117"/>
      <c r="H43" s="117"/>
    </row>
    <row r="45" spans="2:8" ht="14.4" x14ac:dyDescent="0.3">
      <c r="B45" s="116" t="s">
        <v>116</v>
      </c>
      <c r="C45" s="116"/>
      <c r="D45" s="116"/>
      <c r="E45" s="116"/>
      <c r="F45" s="116"/>
      <c r="G45" s="116"/>
      <c r="H45" s="116"/>
    </row>
    <row r="46" spans="2:8" ht="14.4" x14ac:dyDescent="0.3">
      <c r="B46" s="111" t="e">
        <f>#REF!</f>
        <v>#REF!</v>
      </c>
      <c r="C46" s="111"/>
      <c r="D46" s="111"/>
      <c r="E46" s="111"/>
      <c r="F46" s="111"/>
      <c r="G46" s="111"/>
      <c r="H46" s="111"/>
    </row>
    <row r="47" spans="2:8" ht="14.4" x14ac:dyDescent="0.3">
      <c r="B47" s="111"/>
      <c r="C47" s="111"/>
      <c r="D47" s="111"/>
      <c r="E47" s="111"/>
      <c r="F47" s="111"/>
      <c r="G47" s="111"/>
      <c r="H47" s="111"/>
    </row>
    <row r="48" spans="2:8" ht="14.4" x14ac:dyDescent="0.3">
      <c r="B48" s="111"/>
      <c r="C48" s="111"/>
      <c r="D48" s="111"/>
      <c r="E48" s="111"/>
      <c r="F48" s="111"/>
      <c r="G48" s="111"/>
      <c r="H48" s="111"/>
    </row>
    <row r="49" spans="2:8" ht="14.4" x14ac:dyDescent="0.3">
      <c r="G49" s="57" t="s">
        <v>118</v>
      </c>
    </row>
    <row r="50" spans="2:8" ht="14.4" x14ac:dyDescent="0.3">
      <c r="B50" s="115" t="s">
        <v>117</v>
      </c>
      <c r="C50" s="115"/>
      <c r="D50" s="115"/>
      <c r="E50" s="115"/>
      <c r="F50" s="115"/>
      <c r="G50" s="115"/>
      <c r="H50" s="115"/>
    </row>
    <row r="51" spans="2:8" ht="14.4" x14ac:dyDescent="0.3">
      <c r="B51" s="111" t="e">
        <f>#REF!</f>
        <v>#REF!</v>
      </c>
      <c r="C51" s="111"/>
      <c r="D51" s="111"/>
      <c r="E51" s="111"/>
      <c r="F51" s="111"/>
      <c r="G51" s="111"/>
      <c r="H51" s="111"/>
    </row>
    <row r="52" spans="2:8" ht="14.4" x14ac:dyDescent="0.3">
      <c r="B52" s="111"/>
      <c r="C52" s="111"/>
      <c r="D52" s="111"/>
      <c r="E52" s="111"/>
      <c r="F52" s="111"/>
      <c r="G52" s="111"/>
      <c r="H52" s="111"/>
    </row>
    <row r="53" spans="2:8" ht="14.4" x14ac:dyDescent="0.3">
      <c r="B53" s="112"/>
      <c r="C53" s="112"/>
      <c r="D53" s="112"/>
      <c r="E53" s="112"/>
      <c r="F53" s="112"/>
      <c r="G53" s="112"/>
      <c r="H53" s="112"/>
    </row>
    <row r="54" spans="2:8" ht="14.4" x14ac:dyDescent="0.3">
      <c r="G54" s="57" t="s">
        <v>118</v>
      </c>
    </row>
    <row r="55" spans="2:8" ht="14.4" x14ac:dyDescent="0.3">
      <c r="B55" s="121" t="s">
        <v>107</v>
      </c>
      <c r="C55" s="121"/>
      <c r="D55" s="121"/>
      <c r="E55" s="121"/>
      <c r="F55" s="121"/>
      <c r="G55" s="121"/>
      <c r="H55" s="121"/>
    </row>
    <row r="56" spans="2:8" ht="14.4" x14ac:dyDescent="0.3">
      <c r="B56" s="111" t="e">
        <f>#REF!</f>
        <v>#REF!</v>
      </c>
      <c r="C56" s="111"/>
      <c r="D56" s="111"/>
      <c r="E56" s="111"/>
      <c r="F56" s="111"/>
      <c r="G56" s="111"/>
      <c r="H56" s="111"/>
    </row>
    <row r="57" spans="2:8" ht="14.4" x14ac:dyDescent="0.3">
      <c r="B57" s="111"/>
      <c r="C57" s="111"/>
      <c r="D57" s="111"/>
      <c r="E57" s="111"/>
      <c r="F57" s="111"/>
      <c r="G57" s="111"/>
      <c r="H57" s="111"/>
    </row>
    <row r="58" spans="2:8" ht="14.4" x14ac:dyDescent="0.3">
      <c r="B58" s="111"/>
      <c r="C58" s="111"/>
      <c r="D58" s="111"/>
      <c r="E58" s="111"/>
      <c r="F58" s="111"/>
      <c r="G58" s="111"/>
      <c r="H58" s="111"/>
    </row>
    <row r="59" spans="2:8" ht="14.4" x14ac:dyDescent="0.3">
      <c r="G59" s="57" t="s">
        <v>118</v>
      </c>
    </row>
    <row r="60" spans="2:8" ht="14.4" x14ac:dyDescent="0.3">
      <c r="B60" s="120" t="s">
        <v>109</v>
      </c>
      <c r="C60" s="120"/>
      <c r="D60" s="120"/>
      <c r="E60" s="120"/>
      <c r="F60" s="120"/>
      <c r="G60" s="120"/>
      <c r="H60" s="120"/>
    </row>
    <row r="61" spans="2:8" ht="14.4" x14ac:dyDescent="0.3">
      <c r="B61" s="111" t="e">
        <f>#REF!</f>
        <v>#REF!</v>
      </c>
      <c r="C61" s="111"/>
      <c r="D61" s="111"/>
      <c r="E61" s="111"/>
      <c r="F61" s="111"/>
      <c r="G61" s="111"/>
      <c r="H61" s="111"/>
    </row>
    <row r="62" spans="2:8" ht="14.4" x14ac:dyDescent="0.3">
      <c r="B62" s="112"/>
      <c r="C62" s="112"/>
      <c r="D62" s="112"/>
      <c r="E62" s="112"/>
      <c r="F62" s="112"/>
      <c r="G62" s="112"/>
      <c r="H62" s="112"/>
    </row>
    <row r="63" spans="2:8" ht="14.4" x14ac:dyDescent="0.3">
      <c r="B63" s="112"/>
      <c r="C63" s="112"/>
      <c r="D63" s="111"/>
      <c r="E63" s="111"/>
      <c r="F63" s="111"/>
      <c r="G63" s="111"/>
      <c r="H63" s="111"/>
    </row>
    <row r="64" spans="2:8" ht="14.4" x14ac:dyDescent="0.3">
      <c r="G64" s="57" t="s">
        <v>118</v>
      </c>
    </row>
    <row r="65" spans="2:8" ht="14.4" hidden="1" outlineLevel="1" x14ac:dyDescent="0.3">
      <c r="B65" s="118" t="e">
        <f>#REF!</f>
        <v>#REF!</v>
      </c>
      <c r="C65" s="118"/>
      <c r="D65" s="118"/>
      <c r="E65" s="118"/>
      <c r="F65" s="118"/>
      <c r="G65" s="118"/>
      <c r="H65" s="118"/>
    </row>
    <row r="66" spans="2:8" ht="14.4" hidden="1" outlineLevel="1" x14ac:dyDescent="0.3">
      <c r="B66" s="119"/>
      <c r="C66" s="119"/>
      <c r="D66" s="119"/>
      <c r="E66" s="119"/>
      <c r="F66" s="119"/>
      <c r="G66" s="119"/>
      <c r="H66" s="119"/>
    </row>
    <row r="67" spans="2:8" ht="14.4" hidden="1" outlineLevel="1" x14ac:dyDescent="0.3">
      <c r="B67" s="119"/>
      <c r="C67" s="119"/>
      <c r="D67" s="119"/>
      <c r="E67" s="119"/>
      <c r="F67" s="118"/>
      <c r="G67" s="118"/>
      <c r="H67" s="118"/>
    </row>
    <row r="68" spans="2:8" ht="14.4" hidden="1" outlineLevel="1" x14ac:dyDescent="0.3">
      <c r="B68" s="119"/>
      <c r="C68" s="119"/>
      <c r="D68" s="119"/>
      <c r="E68" s="119"/>
      <c r="F68" s="119"/>
      <c r="G68" s="119"/>
      <c r="H68" s="119"/>
    </row>
    <row r="69" spans="2:8" ht="14.4" hidden="1" outlineLevel="1" x14ac:dyDescent="0.3">
      <c r="B69" s="119"/>
      <c r="C69" s="119"/>
      <c r="D69" s="119"/>
      <c r="E69" s="119"/>
      <c r="F69" s="119"/>
      <c r="G69" s="119"/>
      <c r="H69" s="118"/>
    </row>
    <row r="70" spans="2:8" ht="14.4" hidden="1" outlineLevel="1" x14ac:dyDescent="0.3">
      <c r="B70" s="119"/>
      <c r="C70" s="119"/>
      <c r="D70" s="119"/>
      <c r="E70" s="118"/>
      <c r="F70" s="118"/>
      <c r="G70" s="118"/>
      <c r="H70" s="118"/>
    </row>
    <row r="71" spans="2:8" ht="14.4" hidden="1" outlineLevel="1" x14ac:dyDescent="0.3">
      <c r="B71" s="119"/>
      <c r="C71" s="119"/>
      <c r="D71" s="119"/>
      <c r="E71" s="119"/>
      <c r="F71" s="119"/>
      <c r="G71" s="119"/>
      <c r="H71" s="119"/>
    </row>
    <row r="73" spans="2:8" ht="14.4" hidden="1" outlineLevel="1" x14ac:dyDescent="0.3">
      <c r="B73" s="118" t="e">
        <f>#REF!</f>
        <v>#REF!</v>
      </c>
      <c r="C73" s="118"/>
      <c r="D73" s="118"/>
      <c r="E73" s="118"/>
      <c r="F73" s="118"/>
      <c r="G73" s="118"/>
      <c r="H73" s="118"/>
    </row>
    <row r="74" spans="2:8" ht="14.4" hidden="1" outlineLevel="1" x14ac:dyDescent="0.3">
      <c r="B74" s="118"/>
      <c r="C74" s="118"/>
      <c r="D74" s="118"/>
      <c r="E74" s="118"/>
      <c r="F74" s="118"/>
      <c r="G74" s="118"/>
      <c r="H74" s="118"/>
    </row>
    <row r="75" spans="2:8" ht="14.4" hidden="1" outlineLevel="1" x14ac:dyDescent="0.3">
      <c r="B75" s="118"/>
      <c r="C75" s="118"/>
      <c r="D75" s="118"/>
      <c r="E75" s="118"/>
      <c r="F75" s="118"/>
      <c r="G75" s="118"/>
      <c r="H75" s="118"/>
    </row>
    <row r="76" spans="2:8" ht="14.4" hidden="1" outlineLevel="1" x14ac:dyDescent="0.3">
      <c r="B76" s="118"/>
      <c r="C76" s="118"/>
      <c r="D76" s="118"/>
      <c r="E76" s="118"/>
      <c r="F76" s="118"/>
      <c r="G76" s="118"/>
      <c r="H76" s="118"/>
    </row>
    <row r="77" spans="2:8" ht="14.4" hidden="1" outlineLevel="1" x14ac:dyDescent="0.3">
      <c r="B77" s="118"/>
      <c r="C77" s="118"/>
      <c r="D77" s="118"/>
      <c r="E77" s="118"/>
      <c r="F77" s="118"/>
      <c r="G77" s="118"/>
      <c r="H77" s="118"/>
    </row>
    <row r="78" spans="2:8" ht="14.4" hidden="1" outlineLevel="1" x14ac:dyDescent="0.3">
      <c r="B78" s="118"/>
      <c r="C78" s="118"/>
      <c r="D78" s="118"/>
      <c r="E78" s="118"/>
      <c r="F78" s="118"/>
      <c r="G78" s="118"/>
      <c r="H78" s="118"/>
    </row>
    <row r="79" spans="2:8" ht="14.4" hidden="1" outlineLevel="1" x14ac:dyDescent="0.3">
      <c r="B79" s="118"/>
      <c r="C79" s="118"/>
      <c r="D79" s="118"/>
      <c r="E79" s="118"/>
      <c r="F79" s="118"/>
      <c r="G79" s="118"/>
      <c r="H79" s="118"/>
    </row>
    <row r="81" spans="2:8" ht="14.4" hidden="1" outlineLevel="1" x14ac:dyDescent="0.3">
      <c r="B81" s="118" t="e">
        <f>#REF!</f>
        <v>#REF!</v>
      </c>
      <c r="C81" s="118"/>
      <c r="D81" s="118"/>
      <c r="E81" s="118"/>
      <c r="F81" s="118"/>
      <c r="G81" s="118"/>
      <c r="H81" s="118"/>
    </row>
    <row r="82" spans="2:8" ht="14.4" hidden="1" outlineLevel="1" x14ac:dyDescent="0.3">
      <c r="B82" s="118"/>
      <c r="C82" s="118"/>
      <c r="D82" s="118"/>
      <c r="E82" s="118"/>
      <c r="F82" s="118"/>
      <c r="G82" s="118"/>
      <c r="H82" s="118"/>
    </row>
    <row r="83" spans="2:8" ht="14.4" hidden="1" outlineLevel="1" x14ac:dyDescent="0.3">
      <c r="B83" s="118"/>
      <c r="C83" s="118"/>
      <c r="D83" s="118"/>
      <c r="E83" s="118"/>
      <c r="F83" s="118"/>
      <c r="G83" s="118"/>
      <c r="H83" s="118"/>
    </row>
    <row r="84" spans="2:8" ht="14.4" hidden="1" outlineLevel="1" x14ac:dyDescent="0.3">
      <c r="B84" s="118"/>
      <c r="C84" s="118"/>
      <c r="D84" s="118"/>
      <c r="E84" s="118"/>
      <c r="F84" s="118"/>
      <c r="G84" s="118"/>
      <c r="H84" s="118"/>
    </row>
    <row r="85" spans="2:8" ht="14.4" hidden="1" outlineLevel="1" x14ac:dyDescent="0.3">
      <c r="B85" s="118"/>
      <c r="C85" s="118"/>
      <c r="D85" s="118"/>
      <c r="E85" s="118"/>
      <c r="F85" s="118"/>
      <c r="G85" s="118"/>
      <c r="H85" s="118"/>
    </row>
    <row r="86" spans="2:8" ht="14.4" hidden="1" outlineLevel="1" x14ac:dyDescent="0.3">
      <c r="B86" s="118"/>
      <c r="C86" s="118"/>
      <c r="D86" s="118"/>
      <c r="E86" s="118"/>
      <c r="F86" s="118"/>
      <c r="G86" s="118"/>
      <c r="H86" s="118"/>
    </row>
    <row r="87" spans="2:8" ht="14.4" hidden="1" outlineLevel="1" x14ac:dyDescent="0.3">
      <c r="B87" s="118"/>
      <c r="C87" s="118"/>
      <c r="D87" s="118"/>
      <c r="E87" s="118"/>
      <c r="F87" s="118"/>
      <c r="G87" s="118"/>
      <c r="H87" s="118"/>
    </row>
    <row r="89" spans="2:8" ht="14.4" hidden="1" outlineLevel="1" x14ac:dyDescent="0.3">
      <c r="B89" s="118" t="e">
        <f>#REF!</f>
        <v>#REF!</v>
      </c>
      <c r="C89" s="118"/>
      <c r="D89" s="118"/>
      <c r="E89" s="118"/>
      <c r="F89" s="118"/>
      <c r="G89" s="118"/>
      <c r="H89" s="118"/>
    </row>
    <row r="90" spans="2:8" ht="14.4" hidden="1" outlineLevel="1" x14ac:dyDescent="0.3">
      <c r="B90" s="118"/>
      <c r="C90" s="118"/>
      <c r="D90" s="118"/>
      <c r="E90" s="118"/>
      <c r="F90" s="118"/>
      <c r="G90" s="118"/>
      <c r="H90" s="118"/>
    </row>
    <row r="91" spans="2:8" ht="14.4" hidden="1" outlineLevel="1" x14ac:dyDescent="0.3">
      <c r="B91" s="118"/>
      <c r="C91" s="118"/>
      <c r="D91" s="118"/>
      <c r="E91" s="118"/>
      <c r="F91" s="118"/>
      <c r="G91" s="118"/>
      <c r="H91" s="118"/>
    </row>
    <row r="92" spans="2:8" ht="14.4" hidden="1" outlineLevel="1" x14ac:dyDescent="0.3">
      <c r="B92" s="118"/>
      <c r="C92" s="118"/>
      <c r="D92" s="118"/>
      <c r="E92" s="118"/>
      <c r="F92" s="118"/>
      <c r="G92" s="118"/>
      <c r="H92" s="118"/>
    </row>
    <row r="93" spans="2:8" ht="14.4" hidden="1" outlineLevel="1" x14ac:dyDescent="0.3">
      <c r="B93" s="118"/>
      <c r="C93" s="118"/>
      <c r="D93" s="118"/>
      <c r="E93" s="118"/>
      <c r="F93" s="118"/>
      <c r="G93" s="118"/>
      <c r="H93" s="118"/>
    </row>
    <row r="94" spans="2:8" ht="14.4" hidden="1" outlineLevel="1" x14ac:dyDescent="0.3">
      <c r="B94" s="118"/>
      <c r="C94" s="118"/>
      <c r="D94" s="118"/>
      <c r="E94" s="118"/>
      <c r="F94" s="118"/>
      <c r="G94" s="118"/>
      <c r="H94" s="118"/>
    </row>
    <row r="95" spans="2:8" ht="14.4" hidden="1" outlineLevel="1" x14ac:dyDescent="0.3">
      <c r="B95" s="118"/>
      <c r="C95" s="118"/>
      <c r="D95" s="118"/>
      <c r="E95" s="118"/>
      <c r="F95" s="118"/>
      <c r="G95" s="118"/>
      <c r="H95" s="118"/>
    </row>
    <row r="110" spans="2:8" ht="27.75" customHeight="1" x14ac:dyDescent="0.35">
      <c r="B110" s="110" t="s">
        <v>108</v>
      </c>
      <c r="C110" s="110"/>
      <c r="D110" s="110"/>
      <c r="E110" s="110"/>
      <c r="F110" s="110"/>
      <c r="G110" s="110"/>
      <c r="H110" s="110"/>
    </row>
    <row r="111" spans="2:8" ht="14.4" x14ac:dyDescent="0.3">
      <c r="B111" s="111">
        <f>IF('Механика подсчета результатов'!S20="Командный", '3. Рекомендации по вед стилю '!B9, IF('Механика подсчета результатов'!S20="Целеустремленный", '3. Рекомендации по вед стилю '!B3, IF('Механика подсчета результатов'!S20="Вдохновляющий", '3. Рекомендации по вед стилю '!B6, IF('Механика подсчета результатов'!S20="Процессный", '3. Рекомендации по вед стилю '!B12, ""))))</f>
        <v>0</v>
      </c>
      <c r="C111" s="111"/>
      <c r="D111" s="111"/>
      <c r="E111" s="111"/>
      <c r="F111" s="111"/>
      <c r="G111" s="111"/>
      <c r="H111" s="111"/>
    </row>
    <row r="112" spans="2:8" ht="14.4" x14ac:dyDescent="0.3">
      <c r="B112" s="111"/>
      <c r="C112" s="111"/>
      <c r="D112" s="111"/>
      <c r="E112" s="111"/>
      <c r="F112" s="111"/>
      <c r="G112" s="111"/>
      <c r="H112" s="111"/>
    </row>
    <row r="113" spans="2:8" ht="14.4" x14ac:dyDescent="0.3">
      <c r="B113" s="111"/>
      <c r="C113" s="111"/>
      <c r="D113" s="111"/>
      <c r="E113" s="111"/>
      <c r="F113" s="111"/>
      <c r="G113" s="111"/>
      <c r="H113" s="111"/>
    </row>
    <row r="114" spans="2:8" ht="14.4" x14ac:dyDescent="0.3">
      <c r="B114" s="111"/>
      <c r="C114" s="111"/>
      <c r="D114" s="111"/>
      <c r="E114" s="111"/>
      <c r="F114" s="111"/>
      <c r="G114" s="111"/>
      <c r="H114" s="111"/>
    </row>
    <row r="115" spans="2:8" ht="14.4" x14ac:dyDescent="0.3">
      <c r="B115" s="111"/>
      <c r="C115" s="111"/>
      <c r="D115" s="111"/>
      <c r="E115" s="111"/>
      <c r="F115" s="111"/>
      <c r="G115" s="111"/>
      <c r="H115" s="111"/>
    </row>
    <row r="116" spans="2:8" ht="14.4" x14ac:dyDescent="0.3">
      <c r="B116" s="111"/>
      <c r="C116" s="111"/>
      <c r="D116" s="111"/>
      <c r="E116" s="111"/>
      <c r="F116" s="111"/>
      <c r="G116" s="111"/>
      <c r="H116" s="111"/>
    </row>
    <row r="117" spans="2:8" ht="14.4" x14ac:dyDescent="0.3">
      <c r="B117" s="111"/>
      <c r="C117" s="111"/>
      <c r="D117" s="111"/>
      <c r="E117" s="111"/>
      <c r="F117" s="111"/>
      <c r="G117" s="111"/>
      <c r="H117" s="111"/>
    </row>
    <row r="118" spans="2:8" ht="14.4" x14ac:dyDescent="0.3">
      <c r="B118" s="111"/>
      <c r="C118" s="111"/>
      <c r="D118" s="111"/>
      <c r="E118" s="111"/>
      <c r="F118" s="111"/>
      <c r="G118" s="111"/>
      <c r="H118" s="111"/>
    </row>
    <row r="119" spans="2:8" ht="14.4" x14ac:dyDescent="0.3">
      <c r="B119" s="111"/>
      <c r="C119" s="111"/>
      <c r="D119" s="111"/>
      <c r="E119" s="111"/>
      <c r="F119" s="111"/>
      <c r="G119" s="111"/>
      <c r="H119" s="111"/>
    </row>
    <row r="120" spans="2:8" ht="14.4" x14ac:dyDescent="0.3">
      <c r="B120" s="111"/>
      <c r="C120" s="111"/>
      <c r="D120" s="111"/>
      <c r="E120" s="111"/>
      <c r="F120" s="111"/>
      <c r="G120" s="111"/>
      <c r="H120" s="111"/>
    </row>
    <row r="121" spans="2:8" ht="14.4" x14ac:dyDescent="0.3">
      <c r="B121" s="111"/>
      <c r="C121" s="111"/>
      <c r="D121" s="111"/>
      <c r="E121" s="111"/>
      <c r="F121" s="111"/>
      <c r="G121" s="111"/>
      <c r="H121" s="111"/>
    </row>
    <row r="122" spans="2:8" ht="14.4" x14ac:dyDescent="0.3">
      <c r="B122" s="111"/>
      <c r="C122" s="111"/>
      <c r="D122" s="111"/>
      <c r="E122" s="111"/>
      <c r="F122" s="111"/>
      <c r="G122" s="111"/>
      <c r="H122" s="111"/>
    </row>
    <row r="123" spans="2:8" ht="14.4" x14ac:dyDescent="0.3">
      <c r="B123" s="112"/>
      <c r="C123" s="112"/>
      <c r="D123" s="112"/>
      <c r="E123" s="112"/>
      <c r="F123" s="112"/>
      <c r="G123" s="112"/>
      <c r="H123" s="112"/>
    </row>
    <row r="124" spans="2:8" ht="14.4" x14ac:dyDescent="0.3">
      <c r="B124" s="112"/>
      <c r="C124" s="112"/>
      <c r="D124" s="112"/>
      <c r="E124" s="112"/>
      <c r="F124" s="112"/>
      <c r="G124" s="112"/>
      <c r="H124" s="112"/>
    </row>
    <row r="125" spans="2:8" ht="14.4" x14ac:dyDescent="0.3">
      <c r="B125" s="112"/>
      <c r="C125" s="112"/>
      <c r="D125" s="112"/>
      <c r="E125" s="112"/>
      <c r="F125" s="112"/>
      <c r="G125" s="112"/>
      <c r="H125" s="112"/>
    </row>
    <row r="126" spans="2:8" ht="14.4" x14ac:dyDescent="0.3">
      <c r="B126" s="112"/>
      <c r="C126" s="112"/>
      <c r="D126" s="112"/>
      <c r="E126" s="112"/>
      <c r="F126" s="112"/>
      <c r="G126" s="112"/>
      <c r="H126" s="112"/>
    </row>
    <row r="127" spans="2:8" ht="14.4" x14ac:dyDescent="0.3">
      <c r="B127" s="112"/>
      <c r="C127" s="112"/>
      <c r="D127" s="112"/>
      <c r="E127" s="112"/>
      <c r="F127" s="112"/>
      <c r="G127" s="112"/>
      <c r="H127" s="112"/>
    </row>
    <row r="128" spans="2:8" ht="14.4" x14ac:dyDescent="0.3">
      <c r="B128" s="112"/>
      <c r="C128" s="112"/>
      <c r="D128" s="112"/>
      <c r="E128" s="112"/>
      <c r="F128" s="112"/>
      <c r="G128" s="112"/>
      <c r="H128" s="112"/>
    </row>
    <row r="129" spans="2:8" ht="14.4" x14ac:dyDescent="0.3">
      <c r="B129" s="112"/>
      <c r="C129" s="112"/>
      <c r="D129" s="112"/>
      <c r="E129" s="112"/>
      <c r="F129" s="112"/>
      <c r="G129" s="112"/>
      <c r="H129" s="112"/>
    </row>
    <row r="130" spans="2:8" ht="14.4" x14ac:dyDescent="0.3">
      <c r="B130" s="112"/>
      <c r="C130" s="111"/>
      <c r="D130" s="111"/>
      <c r="E130" s="111"/>
      <c r="F130" s="111"/>
      <c r="G130" s="111"/>
      <c r="H130" s="111"/>
    </row>
    <row r="131" spans="2:8" ht="14.4" x14ac:dyDescent="0.3">
      <c r="B131" s="111"/>
      <c r="C131" s="111"/>
      <c r="D131" s="111"/>
      <c r="E131" s="111"/>
      <c r="F131" s="111"/>
      <c r="G131" s="111"/>
      <c r="H131" s="111"/>
    </row>
    <row r="132" spans="2:8" ht="14.4" x14ac:dyDescent="0.3">
      <c r="B132" s="112"/>
      <c r="C132" s="112"/>
      <c r="D132" s="112"/>
      <c r="E132" s="112"/>
      <c r="F132" s="112"/>
      <c r="G132" s="112"/>
      <c r="H132" s="112"/>
    </row>
    <row r="133" spans="2:8" ht="14.4" x14ac:dyDescent="0.3">
      <c r="B133" s="112"/>
      <c r="C133" s="112"/>
      <c r="D133" s="112"/>
      <c r="E133" s="112"/>
      <c r="F133" s="112"/>
      <c r="G133" s="112"/>
      <c r="H133" s="112"/>
    </row>
    <row r="134" spans="2:8" ht="14.4" x14ac:dyDescent="0.3">
      <c r="B134" s="112"/>
      <c r="C134" s="112"/>
      <c r="D134" s="112"/>
      <c r="E134" s="112"/>
      <c r="F134" s="112"/>
      <c r="G134" s="112"/>
      <c r="H134" s="112"/>
    </row>
    <row r="135" spans="2:8" ht="14.4" x14ac:dyDescent="0.3">
      <c r="B135" s="112"/>
      <c r="C135" s="112"/>
      <c r="D135" s="112"/>
      <c r="E135" s="112"/>
      <c r="F135" s="112"/>
      <c r="G135" s="112"/>
      <c r="H135" s="112"/>
    </row>
    <row r="136" spans="2:8" ht="14.4" x14ac:dyDescent="0.3">
      <c r="B136" s="112"/>
      <c r="C136" s="112"/>
      <c r="D136" s="112"/>
      <c r="E136" s="112"/>
      <c r="F136" s="112"/>
      <c r="G136" s="112"/>
      <c r="H136" s="112"/>
    </row>
    <row r="137" spans="2:8" ht="14.4" x14ac:dyDescent="0.3">
      <c r="B137" s="112"/>
      <c r="C137" s="112"/>
      <c r="D137" s="112"/>
      <c r="E137" s="112"/>
      <c r="F137" s="112"/>
      <c r="G137" s="112"/>
      <c r="H137" s="112"/>
    </row>
    <row r="138" spans="2:8" ht="14.4" x14ac:dyDescent="0.3">
      <c r="B138" s="112"/>
      <c r="C138" s="112"/>
      <c r="D138" s="112"/>
      <c r="E138" s="112"/>
      <c r="F138" s="112"/>
      <c r="G138" s="112"/>
      <c r="H138" s="111"/>
    </row>
    <row r="139" spans="2:8" ht="14.4" x14ac:dyDescent="0.3">
      <c r="B139" s="111"/>
      <c r="C139" s="111"/>
      <c r="D139" s="111"/>
      <c r="E139" s="111"/>
      <c r="F139" s="111"/>
      <c r="G139" s="111"/>
      <c r="H139" s="111"/>
    </row>
    <row r="140" spans="2:8" ht="14.4" x14ac:dyDescent="0.3">
      <c r="B140" s="111"/>
      <c r="C140" s="111"/>
      <c r="D140" s="111"/>
      <c r="E140" s="111"/>
      <c r="F140" s="111"/>
      <c r="G140" s="111"/>
      <c r="H140" s="111"/>
    </row>
  </sheetData>
  <mergeCells count="23">
    <mergeCell ref="B111:H140"/>
    <mergeCell ref="B110:H110"/>
    <mergeCell ref="B81:H87"/>
    <mergeCell ref="B89:H95"/>
    <mergeCell ref="B73:H79"/>
    <mergeCell ref="B65:H71"/>
    <mergeCell ref="B61:H63"/>
    <mergeCell ref="B60:H60"/>
    <mergeCell ref="B56:H58"/>
    <mergeCell ref="B55:H55"/>
    <mergeCell ref="B51:H53"/>
    <mergeCell ref="B50:H50"/>
    <mergeCell ref="B46:H48"/>
    <mergeCell ref="B45:H45"/>
    <mergeCell ref="B43:H43"/>
    <mergeCell ref="B42:H42"/>
    <mergeCell ref="B32:H40"/>
    <mergeCell ref="B1:H1"/>
    <mergeCell ref="B3:H3"/>
    <mergeCell ref="B4:H8"/>
    <mergeCell ref="B30:H30"/>
    <mergeCell ref="B9:H13"/>
    <mergeCell ref="B15:H15"/>
  </mergeCells>
  <pageMargins left="0.70000004768371582" right="0.70000004768371582" top="0.75" bottom="0.75" header="0.5118110179901123" footer="0.5118110179901123"/>
  <pageSetup paperSize="9" fitToWidth="0"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70"/>
  <sheetViews>
    <sheetView tabSelected="1" topLeftCell="A24" workbookViewId="0">
      <selection activeCell="F25" sqref="F25:G25"/>
    </sheetView>
  </sheetViews>
  <sheetFormatPr defaultColWidth="160" defaultRowHeight="14.25" customHeight="1" outlineLevelRow="5" x14ac:dyDescent="0.3"/>
  <cols>
    <col min="1" max="1" width="2.33203125" style="5" customWidth="1"/>
    <col min="2" max="9" width="16.33203125" customWidth="1"/>
    <col min="10" max="10" width="14.6640625" customWidth="1"/>
    <col min="11" max="12" width="160" hidden="1" bestFit="1" customWidth="1"/>
    <col min="14" max="14" width="14.6640625" customWidth="1"/>
    <col min="15" max="15" width="10.6640625" customWidth="1"/>
    <col min="22" max="22" width="160" hidden="1" bestFit="1" customWidth="1"/>
  </cols>
  <sheetData>
    <row r="1" spans="2:16" ht="25.5" customHeight="1" x14ac:dyDescent="0.3">
      <c r="B1" s="122" t="s">
        <v>119</v>
      </c>
      <c r="C1" s="123"/>
      <c r="D1" s="124"/>
      <c r="E1" s="125"/>
      <c r="F1" s="126"/>
      <c r="G1" s="127"/>
      <c r="H1" s="128"/>
      <c r="I1" s="129"/>
      <c r="J1" s="130"/>
      <c r="M1" s="5"/>
      <c r="N1" s="5" t="s">
        <v>110</v>
      </c>
      <c r="O1" s="5" t="s">
        <v>111</v>
      </c>
      <c r="P1" s="5"/>
    </row>
    <row r="2" spans="2:16" ht="25.5" customHeight="1" x14ac:dyDescent="0.3">
      <c r="B2" s="131"/>
      <c r="C2" s="132"/>
      <c r="D2" s="132"/>
      <c r="E2" s="132"/>
      <c r="F2" s="132"/>
      <c r="G2" s="132"/>
      <c r="H2" s="132"/>
      <c r="I2" s="132"/>
      <c r="J2" s="133"/>
      <c r="M2" s="5"/>
      <c r="N2" s="5" t="s">
        <v>40</v>
      </c>
      <c r="O2" s="5">
        <f>'Механика подсчета результатов'!R2</f>
        <v>17</v>
      </c>
      <c r="P2" s="5"/>
    </row>
    <row r="3" spans="2:16" ht="14.4" x14ac:dyDescent="0.3">
      <c r="B3" s="58"/>
      <c r="C3" s="59"/>
      <c r="D3" s="59"/>
      <c r="E3" s="59"/>
      <c r="F3" s="59"/>
      <c r="G3" s="59"/>
      <c r="H3" s="59"/>
      <c r="I3" s="59"/>
      <c r="J3" s="60"/>
      <c r="M3" s="5"/>
      <c r="N3" s="5" t="s">
        <v>45</v>
      </c>
      <c r="O3" s="5">
        <f>'Механика подсчета результатов'!S2</f>
        <v>17</v>
      </c>
      <c r="P3" s="5"/>
    </row>
    <row r="4" spans="2:16" ht="30" customHeight="1" x14ac:dyDescent="0.3">
      <c r="B4" s="141" t="s">
        <v>121</v>
      </c>
      <c r="C4" s="142"/>
      <c r="D4" s="142"/>
      <c r="E4" s="142"/>
      <c r="F4" s="142"/>
      <c r="G4" s="142"/>
      <c r="H4" s="142"/>
      <c r="I4" s="142"/>
      <c r="J4" s="143"/>
      <c r="M4" s="5"/>
      <c r="N4" s="5" t="s">
        <v>42</v>
      </c>
      <c r="O4" s="5">
        <f>'Механика подсчета результатов'!T2</f>
        <v>40</v>
      </c>
      <c r="P4" s="5"/>
    </row>
    <row r="5" spans="2:16" ht="12" customHeight="1" x14ac:dyDescent="0.3">
      <c r="B5" s="144" t="str">
        <f>'1. Вводная часть отчета'!A2</f>
        <v>Готово! Мы всё посчитали, ваш результат ниже.
Отчёт отображает результаты, полученные при прохождении теста. Тест предназначен для определения ведущего стиля, с помощью которого вы проявляете человеокцентричность. Цель отчета — выявить ваш наиболее предпочитаемый стиль и дать рекомендации по усилению человекоцентричной культуры в команде.
Ваш отчёт состоит из нескольких блоков:
- Введение
- Результаты
- Характеристика других стилей
- Рекомендации по развитию вашего стиля человекоцентричного лидерства</v>
      </c>
      <c r="C5" s="145"/>
      <c r="D5" s="146"/>
      <c r="E5" s="147"/>
      <c r="F5" s="148"/>
      <c r="G5" s="149"/>
      <c r="H5" s="150"/>
      <c r="I5" s="151"/>
      <c r="J5" s="152"/>
      <c r="M5" s="5"/>
      <c r="N5" s="5" t="s">
        <v>39</v>
      </c>
      <c r="O5" s="5">
        <f>'Механика подсчета результатов'!U2</f>
        <v>24</v>
      </c>
      <c r="P5" s="5"/>
    </row>
    <row r="6" spans="2:16" ht="162" customHeight="1" x14ac:dyDescent="0.3">
      <c r="B6" s="153"/>
      <c r="C6" s="154"/>
      <c r="D6" s="154"/>
      <c r="E6" s="154"/>
      <c r="F6" s="154"/>
      <c r="G6" s="154"/>
      <c r="H6" s="154"/>
      <c r="I6" s="154"/>
      <c r="J6" s="155"/>
      <c r="M6" s="5"/>
      <c r="N6" s="5"/>
      <c r="O6" s="5"/>
      <c r="P6" s="5"/>
    </row>
    <row r="7" spans="2:16" ht="14.4" hidden="1" x14ac:dyDescent="0.3">
      <c r="B7" s="156"/>
      <c r="C7" s="154"/>
      <c r="D7" s="154"/>
      <c r="E7" s="154"/>
      <c r="F7" s="154"/>
      <c r="G7" s="154"/>
      <c r="H7" s="154"/>
      <c r="I7" s="154"/>
      <c r="J7" s="157"/>
      <c r="M7" s="5"/>
      <c r="N7" s="5"/>
      <c r="O7" s="5"/>
      <c r="P7" s="5"/>
    </row>
    <row r="8" spans="2:16" ht="14.4" hidden="1" x14ac:dyDescent="0.3">
      <c r="B8" s="158"/>
      <c r="C8" s="154"/>
      <c r="D8" s="154"/>
      <c r="E8" s="154"/>
      <c r="F8" s="154"/>
      <c r="G8" s="154"/>
      <c r="H8" s="154"/>
      <c r="I8" s="154"/>
      <c r="J8" s="159"/>
      <c r="M8" s="5"/>
      <c r="N8" s="5"/>
      <c r="O8" s="5"/>
      <c r="P8" s="5"/>
    </row>
    <row r="9" spans="2:16" ht="14.4" hidden="1" x14ac:dyDescent="0.3">
      <c r="B9" s="160"/>
      <c r="C9" s="154"/>
      <c r="D9" s="154"/>
      <c r="E9" s="154"/>
      <c r="F9" s="154"/>
      <c r="G9" s="154"/>
      <c r="H9" s="154"/>
      <c r="I9" s="154"/>
      <c r="J9" s="161"/>
      <c r="M9" s="5"/>
      <c r="N9" s="5"/>
      <c r="O9" s="5"/>
      <c r="P9" s="5"/>
    </row>
    <row r="10" spans="2:16" ht="14.4" hidden="1" x14ac:dyDescent="0.3">
      <c r="B10" s="162"/>
      <c r="C10" s="154"/>
      <c r="D10" s="154"/>
      <c r="E10" s="154"/>
      <c r="F10" s="154"/>
      <c r="G10" s="154"/>
      <c r="H10" s="154"/>
      <c r="I10" s="154"/>
      <c r="J10" s="163"/>
      <c r="M10" s="5"/>
      <c r="N10" s="5"/>
      <c r="O10" s="5"/>
      <c r="P10" s="5"/>
    </row>
    <row r="11" spans="2:16" ht="14.4" hidden="1" x14ac:dyDescent="0.3">
      <c r="B11" s="164"/>
      <c r="C11" s="165"/>
      <c r="D11" s="166"/>
      <c r="E11" s="167"/>
      <c r="F11" s="168"/>
      <c r="G11" s="169"/>
      <c r="H11" s="170"/>
      <c r="I11" s="171"/>
      <c r="J11" s="172"/>
      <c r="M11" s="5"/>
      <c r="N11" s="5"/>
      <c r="O11" s="5"/>
      <c r="P11" s="5"/>
    </row>
    <row r="12" spans="2:16" ht="27.75" customHeight="1" x14ac:dyDescent="0.3">
      <c r="B12" s="58"/>
      <c r="C12" s="59"/>
      <c r="D12" s="59"/>
      <c r="E12" s="59"/>
      <c r="F12" s="59"/>
      <c r="G12" s="59"/>
      <c r="H12" s="59"/>
      <c r="I12" s="59"/>
      <c r="J12" s="60"/>
      <c r="M12" s="5"/>
      <c r="N12" s="5"/>
      <c r="O12" s="5"/>
      <c r="P12" s="5"/>
    </row>
    <row r="13" spans="2:16" ht="30" customHeight="1" x14ac:dyDescent="0.3">
      <c r="B13" s="134" t="s">
        <v>95</v>
      </c>
      <c r="C13" s="135"/>
      <c r="D13" s="135"/>
      <c r="E13" s="135"/>
      <c r="F13" s="135"/>
      <c r="G13" s="135"/>
      <c r="H13" s="135"/>
      <c r="I13" s="135"/>
      <c r="J13" s="173"/>
      <c r="M13" s="5"/>
      <c r="N13" s="5"/>
      <c r="O13" s="5"/>
      <c r="P13" s="5"/>
    </row>
    <row r="14" spans="2:16" ht="14.4" x14ac:dyDescent="0.3">
      <c r="B14" s="144" t="str">
        <f>'1. Вводная часть отчета'!A4</f>
        <v>Инструмент «Тест на определение ведущего стиля человекоцентричного лидерства» помогает понять, как вы создаёте осмысленную, тёплую и результативную рабочую среду для людей в вашей команде.
Тест построен на базе:
- Модели человекоцентричного лидерства в "Ростелекоме"
- Классической двухфакторой модели руководства  Ренсиса Лайкерта ("Фокус на людей" и "Фокус на задачи")
- Теории контекстов взаимодействия в команде Рэймонда Белбина
Человекоцентричное лидерство — это подход к управлению, где в центре решений и внимания лидера всегда человек: сотрудник, коллега, клиент, партнёр.
Модель человекоцентричного лидерства опирается на четыре вектора: Культура, Лидер, Процессы и практики, Стратегия, и каждому вектору соответствует свой стиль лидерства.
Важно: тест не измеряет «уровень» или «индекс» человекоцентричности и не даёт оценочного вердикта. Его задача — помочь лидеру лучше понять особенности своего стиля управления и увидеть, в каких ситуациях этот стиль наиболее эффективен, а где полезно подключать другие подходы.</v>
      </c>
      <c r="C14" s="174"/>
      <c r="D14" s="175"/>
      <c r="E14" s="176"/>
      <c r="F14" s="177"/>
      <c r="G14" s="178"/>
      <c r="H14" s="179"/>
      <c r="I14" s="180"/>
      <c r="J14" s="181"/>
      <c r="M14" s="5"/>
      <c r="N14" s="5"/>
      <c r="O14" s="5"/>
      <c r="P14" s="5"/>
    </row>
    <row r="15" spans="2:16" ht="14.4" x14ac:dyDescent="0.3">
      <c r="B15" s="182"/>
      <c r="C15" s="154"/>
      <c r="D15" s="154"/>
      <c r="E15" s="154"/>
      <c r="F15" s="154"/>
      <c r="G15" s="154"/>
      <c r="H15" s="154"/>
      <c r="I15" s="154"/>
      <c r="J15" s="183"/>
      <c r="M15" s="5"/>
      <c r="N15" s="5"/>
      <c r="O15" s="5"/>
      <c r="P15" s="5"/>
    </row>
    <row r="16" spans="2:16" ht="14.4" x14ac:dyDescent="0.3">
      <c r="B16" s="184"/>
      <c r="C16" s="154"/>
      <c r="D16" s="154"/>
      <c r="E16" s="154"/>
      <c r="F16" s="154"/>
      <c r="G16" s="154"/>
      <c r="H16" s="154"/>
      <c r="I16" s="154"/>
      <c r="J16" s="185"/>
      <c r="M16" s="5"/>
      <c r="N16" s="5"/>
      <c r="O16" s="5"/>
      <c r="P16" s="5"/>
    </row>
    <row r="17" spans="2:16" ht="14.4" x14ac:dyDescent="0.3">
      <c r="B17" s="186"/>
      <c r="C17" s="154"/>
      <c r="D17" s="154"/>
      <c r="E17" s="154"/>
      <c r="F17" s="154"/>
      <c r="G17" s="154"/>
      <c r="H17" s="154"/>
      <c r="I17" s="154"/>
      <c r="J17" s="187"/>
      <c r="M17" s="5"/>
      <c r="N17" s="5"/>
      <c r="O17" s="5"/>
      <c r="P17" s="5"/>
    </row>
    <row r="18" spans="2:16" ht="14.4" x14ac:dyDescent="0.3">
      <c r="B18" s="188"/>
      <c r="C18" s="154"/>
      <c r="D18" s="154"/>
      <c r="E18" s="154"/>
      <c r="F18" s="154"/>
      <c r="G18" s="154"/>
      <c r="H18" s="154"/>
      <c r="I18" s="154"/>
      <c r="J18" s="189"/>
      <c r="M18" s="5"/>
      <c r="N18" s="5"/>
      <c r="O18" s="5"/>
      <c r="P18" s="5"/>
    </row>
    <row r="19" spans="2:16" ht="14.4" x14ac:dyDescent="0.3">
      <c r="B19" s="190"/>
      <c r="C19" s="154"/>
      <c r="D19" s="154"/>
      <c r="E19" s="154"/>
      <c r="F19" s="154"/>
      <c r="G19" s="154"/>
      <c r="H19" s="154"/>
      <c r="I19" s="154"/>
      <c r="J19" s="191"/>
      <c r="M19" s="5"/>
      <c r="N19" s="5"/>
      <c r="O19" s="5"/>
      <c r="P19" s="5"/>
    </row>
    <row r="20" spans="2:16" ht="14.4" x14ac:dyDescent="0.3">
      <c r="B20" s="192"/>
      <c r="C20" s="154"/>
      <c r="D20" s="154"/>
      <c r="E20" s="154"/>
      <c r="F20" s="154"/>
      <c r="G20" s="154"/>
      <c r="H20" s="154"/>
      <c r="I20" s="154"/>
      <c r="J20" s="193"/>
      <c r="M20" s="5"/>
      <c r="N20" s="5"/>
      <c r="O20" s="5"/>
      <c r="P20" s="5"/>
    </row>
    <row r="21" spans="2:16" ht="30" customHeight="1" x14ac:dyDescent="0.3">
      <c r="B21" s="194"/>
      <c r="C21" s="154"/>
      <c r="D21" s="154"/>
      <c r="E21" s="154"/>
      <c r="F21" s="154"/>
      <c r="G21" s="154"/>
      <c r="H21" s="154"/>
      <c r="I21" s="154"/>
      <c r="J21" s="195"/>
      <c r="M21" s="5"/>
      <c r="N21" s="5"/>
      <c r="O21" s="5"/>
      <c r="P21" s="5"/>
    </row>
    <row r="22" spans="2:16" ht="37.5" customHeight="1" x14ac:dyDescent="0.3">
      <c r="B22" s="196"/>
      <c r="C22" s="197"/>
      <c r="D22" s="198"/>
      <c r="E22" s="199"/>
      <c r="F22" s="200"/>
      <c r="G22" s="201"/>
      <c r="H22" s="202"/>
      <c r="I22" s="203"/>
      <c r="J22" s="204"/>
      <c r="M22" s="5"/>
      <c r="N22" s="5"/>
      <c r="O22" s="5"/>
      <c r="P22" s="5"/>
    </row>
    <row r="23" spans="2:16" ht="14.4" x14ac:dyDescent="0.3">
      <c r="B23" s="58"/>
      <c r="C23" s="59"/>
      <c r="D23" s="59"/>
      <c r="E23" s="59"/>
      <c r="F23" s="59"/>
      <c r="G23" s="59"/>
      <c r="H23" s="59"/>
      <c r="I23" s="59"/>
      <c r="J23" s="60"/>
      <c r="M23" s="5"/>
      <c r="N23" s="5"/>
      <c r="O23" s="5"/>
      <c r="P23" s="5"/>
    </row>
    <row r="24" spans="2:16" ht="30" customHeight="1" x14ac:dyDescent="0.3">
      <c r="B24" s="134" t="s">
        <v>122</v>
      </c>
      <c r="C24" s="135"/>
      <c r="D24" s="135"/>
      <c r="E24" s="135"/>
      <c r="F24" s="135"/>
      <c r="G24" s="135"/>
      <c r="H24" s="135"/>
      <c r="I24" s="135"/>
      <c r="J24" s="136"/>
      <c r="M24" s="5"/>
      <c r="N24" s="5"/>
      <c r="O24" s="5"/>
      <c r="P24" s="5"/>
    </row>
    <row r="25" spans="2:16" ht="14.4" x14ac:dyDescent="0.3">
      <c r="B25" s="213" t="s">
        <v>116</v>
      </c>
      <c r="C25" s="214"/>
      <c r="D25" s="139" t="s">
        <v>117</v>
      </c>
      <c r="E25" s="140"/>
      <c r="F25" s="211" t="s">
        <v>107</v>
      </c>
      <c r="G25" s="212"/>
      <c r="H25" s="137" t="s">
        <v>109</v>
      </c>
      <c r="I25" s="138"/>
      <c r="J25" s="60"/>
      <c r="M25" s="5"/>
      <c r="N25" s="5"/>
      <c r="O25" s="5"/>
      <c r="P25" s="5"/>
    </row>
    <row r="26" spans="2:16" ht="30.75" customHeight="1" x14ac:dyDescent="0.6">
      <c r="B26" s="208">
        <f>'Механика подсчета результатов'!R2</f>
        <v>17</v>
      </c>
      <c r="C26" s="209"/>
      <c r="D26" s="205">
        <f>'Механика подсчета результатов'!S2</f>
        <v>17</v>
      </c>
      <c r="E26" s="210"/>
      <c r="F26" s="205">
        <f>'Механика подсчета результатов'!T2</f>
        <v>40</v>
      </c>
      <c r="G26" s="206"/>
      <c r="H26" s="205">
        <f>'Механика подсчета результатов'!U2</f>
        <v>24</v>
      </c>
      <c r="I26" s="207"/>
      <c r="J26" s="60"/>
      <c r="M26" s="5"/>
      <c r="N26" s="5"/>
      <c r="O26" s="5"/>
      <c r="P26" s="5"/>
    </row>
    <row r="27" spans="2:16" ht="15" customHeight="1" x14ac:dyDescent="0.3">
      <c r="B27" s="218" t="s">
        <v>125</v>
      </c>
      <c r="C27" s="219"/>
      <c r="D27" s="220" t="s">
        <v>125</v>
      </c>
      <c r="E27" s="221"/>
      <c r="F27" s="220" t="s">
        <v>125</v>
      </c>
      <c r="G27" s="222"/>
      <c r="H27" s="220" t="s">
        <v>125</v>
      </c>
      <c r="I27" s="223"/>
      <c r="J27" s="60"/>
      <c r="M27" s="5"/>
      <c r="N27" s="5"/>
      <c r="O27" s="5"/>
      <c r="P27" s="5"/>
    </row>
    <row r="28" spans="2:16" ht="14.4" x14ac:dyDescent="0.3">
      <c r="B28" s="58"/>
      <c r="C28" s="59"/>
      <c r="D28" s="59"/>
      <c r="E28" s="59"/>
      <c r="F28" s="59"/>
      <c r="G28" s="59"/>
      <c r="H28" s="59"/>
      <c r="I28" s="59"/>
      <c r="J28" s="60"/>
      <c r="M28" s="5"/>
      <c r="N28" s="5"/>
      <c r="O28" s="5"/>
      <c r="P28" s="5"/>
    </row>
    <row r="29" spans="2:16" ht="15" customHeight="1" x14ac:dyDescent="0.35">
      <c r="B29" s="215" t="str">
        <f>"🏆 Ваш ведущий стиль: "&amp;'Механика подсчета результатов'!S20&amp;" ("&amp;'Механика подсчета результатов'!S21&amp;" баллов)"</f>
        <v>🏆 Ваш ведущий стиль: Командный (40 баллов)</v>
      </c>
      <c r="C29" s="216"/>
      <c r="D29" s="216"/>
      <c r="E29" s="216"/>
      <c r="F29" s="216"/>
      <c r="G29" s="216"/>
      <c r="H29" s="216"/>
      <c r="I29" s="216"/>
      <c r="J29" s="217"/>
      <c r="M29" s="5"/>
      <c r="N29" s="5"/>
      <c r="O29" s="5"/>
      <c r="P29" s="5"/>
    </row>
    <row r="30" spans="2:16" ht="27.75" customHeight="1" x14ac:dyDescent="0.3">
      <c r="B30" s="58"/>
      <c r="C30" s="59"/>
      <c r="D30" s="59"/>
      <c r="E30" s="59"/>
      <c r="F30" s="59"/>
      <c r="G30" s="59"/>
      <c r="H30" s="59"/>
      <c r="I30" s="59"/>
      <c r="J30" s="60"/>
      <c r="M30" s="5"/>
      <c r="N30" s="5"/>
      <c r="O30" s="5"/>
      <c r="P30" s="5"/>
    </row>
    <row r="31" spans="2:16" ht="240.75" customHeight="1" x14ac:dyDescent="0.3">
      <c r="B31" s="58"/>
      <c r="C31" s="59"/>
      <c r="D31" s="59"/>
      <c r="E31" s="59"/>
      <c r="F31" s="59"/>
      <c r="G31" s="59"/>
      <c r="H31" s="59"/>
      <c r="I31" s="59"/>
      <c r="J31" s="60"/>
      <c r="M31" s="61" t="s">
        <v>127</v>
      </c>
      <c r="N31" s="5"/>
      <c r="O31" s="5"/>
      <c r="P31" s="5"/>
    </row>
    <row r="32" spans="2:16" ht="30" customHeight="1" x14ac:dyDescent="0.3">
      <c r="B32" s="134" t="s">
        <v>126</v>
      </c>
      <c r="C32" s="135"/>
      <c r="D32" s="135"/>
      <c r="E32" s="135"/>
      <c r="F32" s="135"/>
      <c r="G32" s="135"/>
      <c r="H32" s="135"/>
      <c r="I32" s="135"/>
      <c r="J32" s="277"/>
      <c r="M32" s="5"/>
      <c r="N32" s="5"/>
      <c r="O32" s="5"/>
      <c r="P32" s="5"/>
    </row>
    <row r="33" spans="2:16" ht="14.4" x14ac:dyDescent="0.3">
      <c r="B33" s="144" t="str">
        <f>CHOOSE('Механика подсчета результатов'!V2, '2. Харак-ка стилей'!A3, '2. Харак-ка стилей'!A6, '2. Харак-ка стилей'!A9, '2. Харак-ка стилей'!A12)</f>
        <v>Стиль ориентирован на команду и культуру взаимодействия. Вектор в модели человекоцентричности — Культура. Приоритеты — доброжелательное общение, уважительная коммуникация, культура взаимопомощи, ролевая модель корпоративной культуры. Командный лидер проявляет человекоцентричность через то, как команда общается и поддерживает друг друга: он демонстрирует уважительный диалог, тактичность и вежливость в общении, готовность помочь и быть опорой. Он — ролевая модель корпоративной культуры: показывает на своём примере, как принято общаться, договариваться и взаимодействовать в компании.
Сильные стороны:
•	Доброжелательная культура общения;
•	Уважительная коммуникация и конструктивная обратная связь;
•	Культура взаимопомощи и создание психологической безопасности;
•	Ролевая модель корпоративных ценностей в ежедневном поведении.
Как стиль влияет на человекоцентричную культуру в Ростелекоме?
Ваш ведущий стиль задаёт «тон общения» в команде и вокруг неё: люди чувствуют, что их слышат, к ним относятся с уважением, можно просить помощи. Лидер укрепляет человекоцентричность через живое воплощение культуры Ростелекома — не через декларирование, а ежедневные взаимодействия.
Ваш стиль человекоцентричности эффективен, если:
•	команде важен уважительный диалог, тактичность и взаимопомощь;
•	людям нужен медиатор или фасилитатор для достижения договорённостей;
•	необходимо адаптировать новых сотрудников, обеспечить комфортную среду, поддержку и «опору».
Ваш стиль человекоцентричности менее эффективен, если:
•	нужно быстро принять непопулярное решение;
•	требуется достижение амбициозных результатов в короткие сроки, нужно снять барьеры в процессах;
•	команде важен профессиональный вызов или внедрение инноваций.</v>
      </c>
      <c r="C33" s="231"/>
      <c r="D33" s="232"/>
      <c r="E33" s="233"/>
      <c r="F33" s="234"/>
      <c r="G33" s="235"/>
      <c r="H33" s="236"/>
      <c r="I33" s="237"/>
      <c r="J33" s="238"/>
      <c r="M33" s="5"/>
      <c r="N33" s="5"/>
      <c r="O33" s="5"/>
      <c r="P33" s="5"/>
    </row>
    <row r="34" spans="2:16" ht="14.4" x14ac:dyDescent="0.3">
      <c r="B34" s="239"/>
      <c r="C34" s="154"/>
      <c r="D34" s="154"/>
      <c r="E34" s="154"/>
      <c r="F34" s="154"/>
      <c r="G34" s="154"/>
      <c r="H34" s="154"/>
      <c r="I34" s="154"/>
      <c r="J34" s="240"/>
      <c r="M34" s="5"/>
      <c r="N34" s="5"/>
      <c r="O34" s="5"/>
      <c r="P34" s="5"/>
    </row>
    <row r="35" spans="2:16" ht="14.4" x14ac:dyDescent="0.3">
      <c r="B35" s="241"/>
      <c r="C35" s="154"/>
      <c r="D35" s="154"/>
      <c r="E35" s="154"/>
      <c r="F35" s="154"/>
      <c r="G35" s="154"/>
      <c r="H35" s="154"/>
      <c r="I35" s="154"/>
      <c r="J35" s="242"/>
      <c r="M35" s="5"/>
      <c r="N35" s="5"/>
      <c r="O35" s="5"/>
      <c r="P35" s="5"/>
    </row>
    <row r="36" spans="2:16" ht="14.4" x14ac:dyDescent="0.3">
      <c r="B36" s="243"/>
      <c r="C36" s="154"/>
      <c r="D36" s="154"/>
      <c r="E36" s="154"/>
      <c r="F36" s="154"/>
      <c r="G36" s="154"/>
      <c r="H36" s="154"/>
      <c r="I36" s="154"/>
      <c r="J36" s="244"/>
      <c r="M36" s="5"/>
      <c r="N36" s="5"/>
      <c r="O36" s="5"/>
      <c r="P36" s="5"/>
    </row>
    <row r="37" spans="2:16" ht="14.4" x14ac:dyDescent="0.3">
      <c r="B37" s="245"/>
      <c r="C37" s="154"/>
      <c r="D37" s="154"/>
      <c r="E37" s="154"/>
      <c r="F37" s="154"/>
      <c r="G37" s="154"/>
      <c r="H37" s="154"/>
      <c r="I37" s="154"/>
      <c r="J37" s="246"/>
      <c r="M37" s="5"/>
      <c r="N37" s="5"/>
      <c r="O37" s="5"/>
      <c r="P37" s="5"/>
    </row>
    <row r="38" spans="2:16" ht="30" customHeight="1" x14ac:dyDescent="0.3">
      <c r="B38" s="247"/>
      <c r="C38" s="154"/>
      <c r="D38" s="154"/>
      <c r="E38" s="154"/>
      <c r="F38" s="154"/>
      <c r="G38" s="154"/>
      <c r="H38" s="154"/>
      <c r="I38" s="154"/>
      <c r="J38" s="248"/>
      <c r="M38" s="5"/>
      <c r="N38" s="5"/>
      <c r="O38" s="5"/>
      <c r="P38" s="5"/>
    </row>
    <row r="39" spans="2:16" ht="14.4" x14ac:dyDescent="0.3">
      <c r="B39" s="249"/>
      <c r="C39" s="154"/>
      <c r="D39" s="154"/>
      <c r="E39" s="154"/>
      <c r="F39" s="154"/>
      <c r="G39" s="154"/>
      <c r="H39" s="154"/>
      <c r="I39" s="154"/>
      <c r="J39" s="250"/>
      <c r="M39" s="5"/>
      <c r="N39" s="5"/>
      <c r="O39" s="5"/>
      <c r="P39" s="5"/>
    </row>
    <row r="40" spans="2:16" ht="14.4" x14ac:dyDescent="0.3">
      <c r="B40" s="251"/>
      <c r="C40" s="154"/>
      <c r="D40" s="154"/>
      <c r="E40" s="154"/>
      <c r="F40" s="154"/>
      <c r="G40" s="154"/>
      <c r="H40" s="154"/>
      <c r="I40" s="154"/>
      <c r="J40" s="252"/>
      <c r="M40" s="5"/>
      <c r="N40" s="5"/>
      <c r="O40" s="5"/>
      <c r="P40" s="5"/>
    </row>
    <row r="41" spans="2:16" ht="14.4" x14ac:dyDescent="0.3">
      <c r="B41" s="253"/>
      <c r="C41" s="154"/>
      <c r="D41" s="154"/>
      <c r="E41" s="154"/>
      <c r="F41" s="154"/>
      <c r="G41" s="154"/>
      <c r="H41" s="154"/>
      <c r="I41" s="154"/>
      <c r="J41" s="254"/>
      <c r="M41" s="5"/>
      <c r="N41" s="5"/>
      <c r="O41" s="5"/>
      <c r="P41" s="5"/>
    </row>
    <row r="42" spans="2:16" ht="14.4" x14ac:dyDescent="0.3">
      <c r="B42" s="255"/>
      <c r="C42" s="154"/>
      <c r="D42" s="154"/>
      <c r="E42" s="154"/>
      <c r="F42" s="154"/>
      <c r="G42" s="154"/>
      <c r="H42" s="154"/>
      <c r="I42" s="154"/>
      <c r="J42" s="256"/>
      <c r="M42" s="5"/>
      <c r="N42" s="5"/>
      <c r="O42" s="5"/>
      <c r="P42" s="5"/>
    </row>
    <row r="43" spans="2:16" ht="14.4" x14ac:dyDescent="0.3">
      <c r="B43" s="257"/>
      <c r="C43" s="258"/>
      <c r="D43" s="258"/>
      <c r="E43" s="258"/>
      <c r="F43" s="258"/>
      <c r="G43" s="258"/>
      <c r="H43" s="258"/>
      <c r="I43" s="258"/>
      <c r="J43" s="259"/>
      <c r="M43" s="5"/>
      <c r="N43" s="5"/>
      <c r="O43" s="5"/>
      <c r="P43" s="5"/>
    </row>
    <row r="44" spans="2:16" ht="206.25" customHeight="1" x14ac:dyDescent="0.3">
      <c r="B44" s="260"/>
      <c r="C44" s="258"/>
      <c r="D44" s="258"/>
      <c r="E44" s="258"/>
      <c r="F44" s="258"/>
      <c r="G44" s="258"/>
      <c r="H44" s="258"/>
      <c r="I44" s="258"/>
      <c r="J44" s="261"/>
      <c r="M44" s="5"/>
      <c r="N44" s="5"/>
      <c r="O44" s="5"/>
      <c r="P44" s="5"/>
    </row>
    <row r="45" spans="2:16" ht="4.95" customHeight="1" outlineLevel="1" x14ac:dyDescent="0.3">
      <c r="B45" s="262"/>
      <c r="C45" s="258"/>
      <c r="D45" s="258"/>
      <c r="E45" s="258"/>
      <c r="F45" s="258"/>
      <c r="G45" s="258"/>
      <c r="H45" s="258"/>
      <c r="I45" s="258"/>
      <c r="J45" s="263"/>
      <c r="M45" s="5"/>
      <c r="N45" s="5"/>
      <c r="O45" s="5"/>
      <c r="P45" s="5"/>
    </row>
    <row r="46" spans="2:16" ht="13.95" hidden="1" customHeight="1" outlineLevel="1" x14ac:dyDescent="0.3">
      <c r="B46" s="264"/>
      <c r="C46" s="258"/>
      <c r="D46" s="258"/>
      <c r="E46" s="258"/>
      <c r="F46" s="258"/>
      <c r="G46" s="258"/>
      <c r="H46" s="258"/>
      <c r="I46" s="258"/>
      <c r="J46" s="265"/>
      <c r="M46" s="5"/>
      <c r="N46" s="5"/>
      <c r="O46" s="5"/>
      <c r="P46" s="5"/>
    </row>
    <row r="47" spans="2:16" ht="27.6" hidden="1" customHeight="1" outlineLevel="1" x14ac:dyDescent="0.3">
      <c r="B47" s="266"/>
      <c r="C47" s="258"/>
      <c r="D47" s="258"/>
      <c r="E47" s="258"/>
      <c r="F47" s="258"/>
      <c r="G47" s="258"/>
      <c r="H47" s="258"/>
      <c r="I47" s="258"/>
      <c r="J47" s="267"/>
      <c r="M47" s="5"/>
      <c r="N47" s="5"/>
      <c r="O47" s="5"/>
      <c r="P47" s="5"/>
    </row>
    <row r="48" spans="2:16" ht="13.95" hidden="1" customHeight="1" outlineLevel="1" x14ac:dyDescent="0.3">
      <c r="B48" s="268"/>
      <c r="C48" s="269"/>
      <c r="D48" s="270"/>
      <c r="E48" s="271"/>
      <c r="F48" s="272"/>
      <c r="G48" s="273"/>
      <c r="H48" s="274"/>
      <c r="I48" s="275"/>
      <c r="J48" s="276"/>
      <c r="M48" s="5"/>
      <c r="N48" s="5"/>
      <c r="O48" s="5"/>
      <c r="P48" s="5"/>
    </row>
    <row r="49" spans="2:16" ht="14.25" customHeight="1" outlineLevel="1" x14ac:dyDescent="0.3">
      <c r="B49" s="58"/>
      <c r="C49" s="59"/>
      <c r="D49" s="59"/>
      <c r="E49" s="59"/>
      <c r="F49" s="59"/>
      <c r="G49" s="59"/>
      <c r="H49" s="59"/>
      <c r="I49" s="59"/>
      <c r="J49" s="60"/>
      <c r="M49" s="5"/>
      <c r="N49" s="5"/>
      <c r="O49" s="5"/>
      <c r="P49" s="5"/>
    </row>
    <row r="50" spans="2:16" ht="30" customHeight="1" outlineLevel="1" x14ac:dyDescent="0.3">
      <c r="B50" s="134" t="s">
        <v>123</v>
      </c>
      <c r="C50" s="135"/>
      <c r="D50" s="135"/>
      <c r="E50" s="135"/>
      <c r="F50" s="135"/>
      <c r="G50" s="135"/>
      <c r="H50" s="135"/>
      <c r="I50" s="135"/>
      <c r="J50" s="230"/>
      <c r="M50" s="5"/>
      <c r="N50" s="5"/>
      <c r="O50" s="5"/>
      <c r="P50" s="5"/>
    </row>
    <row r="51" spans="2:16" ht="14.25" customHeight="1" outlineLevel="1" x14ac:dyDescent="0.3">
      <c r="B51" s="227" t="s">
        <v>124</v>
      </c>
      <c r="C51" s="228"/>
      <c r="D51" s="228"/>
      <c r="E51" s="228"/>
      <c r="F51" s="228"/>
      <c r="G51" s="228"/>
      <c r="H51" s="228"/>
      <c r="I51" s="228"/>
      <c r="J51" s="229"/>
      <c r="M51" s="5"/>
      <c r="N51" s="5"/>
      <c r="O51" s="5"/>
      <c r="P51" s="5"/>
    </row>
    <row r="52" spans="2:16" ht="14.4" x14ac:dyDescent="0.3">
      <c r="B52" s="58"/>
      <c r="C52" s="59"/>
      <c r="D52" s="59"/>
      <c r="E52" s="59"/>
      <c r="F52" s="59"/>
      <c r="G52" s="59"/>
      <c r="H52" s="59"/>
      <c r="I52" s="59"/>
      <c r="J52" s="60"/>
      <c r="M52" s="5"/>
      <c r="N52" s="5"/>
      <c r="O52" s="5"/>
      <c r="P52" s="5"/>
    </row>
    <row r="53" spans="2:16" ht="23.25" customHeight="1" x14ac:dyDescent="0.3">
      <c r="B53" s="224" t="str">
        <f>INDEX('2. Харак-ка стилей'!A:A, CHOOSE('Механика подсчета результатов'!V2, 6, 3, 3, 3)-1)</f>
        <v>Стиль "Целеустремленный"</v>
      </c>
      <c r="C53" s="225"/>
      <c r="D53" s="225"/>
      <c r="E53" s="225"/>
      <c r="F53" s="225"/>
      <c r="G53" s="225"/>
      <c r="H53" s="225"/>
      <c r="I53" s="225"/>
      <c r="J53" s="226"/>
      <c r="M53" s="5"/>
      <c r="N53" s="5"/>
      <c r="O53" s="5"/>
      <c r="P53" s="5"/>
    </row>
    <row r="54" spans="2:16" ht="23.25" customHeight="1" outlineLevel="1" x14ac:dyDescent="0.3">
      <c r="B54" s="144" t="str">
        <f>LEFT(INDEX('2. Харак-ка стилей'!A:A, CHOOSE('Механика подсчета результатов'!V2, 6, 3, 3, 3)), IFERROR(FIND("Сильные стороны", INDEX('2. Харак-ка стилей'!A:A, CHOOSE('Механика подсчета результатов'!V2, 6, 3, 3, 3)))-1, LEN(INDEX('2. Харак-ка стилей'!A:A, CHOOSE('Механика подсчета результатов'!V2, 6, 3, 3, 3)))))</f>
        <v xml:space="preserve">Стиль ориентирован на результат и создание ценности для клиентов. В модели человекоцентричности ему соответствует вектор «Стратегия». Приоритеты лидера — цели, достижения, своевременные решения, ценность для клиента и общества. Целеустремлённый лидер проявляет человекоцентричность через ясность целей и достижение результата, который приносит пользу клиенту и компании. Такой лидер фокусируется на показателях, контроле выполнения задач и достижении оговорённого результата. 
</v>
      </c>
      <c r="C54" s="321"/>
      <c r="D54" s="322"/>
      <c r="E54" s="323"/>
      <c r="F54" s="324"/>
      <c r="G54" s="325"/>
      <c r="H54" s="326"/>
      <c r="I54" s="327"/>
      <c r="J54" s="328"/>
      <c r="M54" s="5"/>
      <c r="N54" s="5"/>
      <c r="O54" s="5"/>
      <c r="P54" s="5"/>
    </row>
    <row r="55" spans="2:16" ht="23.25" customHeight="1" outlineLevel="1" x14ac:dyDescent="0.3">
      <c r="B55" s="329"/>
      <c r="C55" s="154"/>
      <c r="D55" s="154"/>
      <c r="E55" s="154"/>
      <c r="F55" s="154"/>
      <c r="G55" s="154"/>
      <c r="H55" s="154"/>
      <c r="I55" s="154"/>
      <c r="J55" s="330"/>
      <c r="M55" s="5"/>
      <c r="N55" s="5"/>
      <c r="O55" s="5"/>
      <c r="P55" s="5"/>
    </row>
    <row r="56" spans="2:16" ht="23.25" customHeight="1" outlineLevel="2" x14ac:dyDescent="0.3">
      <c r="B56" s="331"/>
      <c r="C56" s="154"/>
      <c r="D56" s="154"/>
      <c r="E56" s="154"/>
      <c r="F56" s="154"/>
      <c r="G56" s="154"/>
      <c r="H56" s="154"/>
      <c r="I56" s="154"/>
      <c r="J56" s="332"/>
      <c r="M56" s="5"/>
      <c r="N56" s="5"/>
      <c r="O56" s="5"/>
      <c r="P56" s="5"/>
    </row>
    <row r="57" spans="2:16" ht="23.25" customHeight="1" outlineLevel="2" x14ac:dyDescent="0.3">
      <c r="B57" s="333"/>
      <c r="C57" s="154"/>
      <c r="D57" s="154"/>
      <c r="E57" s="154"/>
      <c r="F57" s="154"/>
      <c r="G57" s="154"/>
      <c r="H57" s="154"/>
      <c r="I57" s="154"/>
      <c r="J57" s="334"/>
      <c r="M57" s="5"/>
      <c r="N57" s="5"/>
      <c r="O57" s="5"/>
      <c r="P57" s="5"/>
    </row>
    <row r="58" spans="2:16" ht="23.25" customHeight="1" outlineLevel="4" x14ac:dyDescent="0.3">
      <c r="B58" s="335"/>
      <c r="C58" s="336"/>
      <c r="D58" s="337"/>
      <c r="E58" s="338"/>
      <c r="F58" s="339"/>
      <c r="G58" s="340"/>
      <c r="H58" s="341"/>
      <c r="I58" s="342"/>
      <c r="J58" s="343"/>
      <c r="M58" s="5"/>
      <c r="N58" s="5"/>
      <c r="O58" s="5"/>
      <c r="P58" s="5"/>
    </row>
    <row r="59" spans="2:16" ht="23.25" customHeight="1" outlineLevel="4" x14ac:dyDescent="0.3">
      <c r="B59" s="278" t="str">
        <f>HYPERLINK("#'2. Харак-ка стилей'!A"&amp;CHOOSE('Механика подсчета результатов'!V2, 6, 3, 3, 3), "▶ Полное описание стиля")</f>
        <v>▶ Полное описание стиля</v>
      </c>
      <c r="C59" s="313"/>
      <c r="D59" s="314"/>
      <c r="E59" s="315"/>
      <c r="F59" s="316"/>
      <c r="G59" s="317"/>
      <c r="H59" s="318"/>
      <c r="I59" s="319"/>
      <c r="J59" s="320"/>
      <c r="M59" s="5"/>
      <c r="N59" s="5"/>
      <c r="O59" s="5"/>
      <c r="P59" s="5"/>
    </row>
    <row r="60" spans="2:16" ht="14.4" customHeight="1" outlineLevel="4" x14ac:dyDescent="0.3">
      <c r="B60" s="58"/>
      <c r="C60" s="59"/>
      <c r="D60" s="59"/>
      <c r="E60" s="59"/>
      <c r="F60" s="59"/>
      <c r="G60" s="59"/>
      <c r="H60" s="59"/>
      <c r="I60" s="59"/>
      <c r="J60" s="60"/>
      <c r="M60" s="5"/>
      <c r="N60" s="5"/>
      <c r="O60" s="5"/>
      <c r="P60" s="5"/>
    </row>
    <row r="61" spans="2:16" ht="22.95" hidden="1" customHeight="1" outlineLevel="4" x14ac:dyDescent="0.3">
      <c r="B61" s="58"/>
      <c r="C61" s="59"/>
      <c r="D61" s="59"/>
      <c r="E61" s="59"/>
      <c r="F61" s="59"/>
      <c r="G61" s="59"/>
      <c r="H61" s="59"/>
      <c r="I61" s="59"/>
      <c r="J61" s="60"/>
      <c r="M61" s="5"/>
      <c r="N61" s="5"/>
      <c r="O61" s="5"/>
      <c r="P61" s="5"/>
    </row>
    <row r="62" spans="2:16" ht="22.95" hidden="1" customHeight="1" outlineLevel="4" x14ac:dyDescent="0.3">
      <c r="B62" s="58"/>
      <c r="C62" s="59"/>
      <c r="D62" s="59"/>
      <c r="E62" s="59"/>
      <c r="F62" s="59"/>
      <c r="G62" s="59"/>
      <c r="H62" s="59"/>
      <c r="I62" s="59"/>
      <c r="J62" s="60"/>
      <c r="M62" s="5"/>
      <c r="N62" s="5"/>
      <c r="O62" s="5"/>
      <c r="P62" s="5"/>
    </row>
    <row r="63" spans="2:16" ht="23.25" hidden="1" customHeight="1" outlineLevel="5" x14ac:dyDescent="0.3">
      <c r="B63" s="58"/>
      <c r="C63" s="59"/>
      <c r="D63" s="59"/>
      <c r="E63" s="59"/>
      <c r="F63" s="59"/>
      <c r="G63" s="59"/>
      <c r="H63" s="59"/>
      <c r="I63" s="59"/>
      <c r="J63" s="60"/>
      <c r="M63" s="5"/>
      <c r="N63" s="5"/>
      <c r="O63" s="5"/>
      <c r="P63" s="5"/>
    </row>
    <row r="64" spans="2:16" ht="23.25" customHeight="1" outlineLevel="4" collapsed="1" x14ac:dyDescent="0.3">
      <c r="B64" s="310" t="str">
        <f>INDEX('2. Харак-ка стилей'!A:A, CHOOSE('Механика подсчета результатов'!V2, 9, 9, 6, 6)-1)</f>
        <v>Стиль "Вдохновляющий"</v>
      </c>
      <c r="C64" s="311"/>
      <c r="D64" s="311"/>
      <c r="E64" s="311"/>
      <c r="F64" s="311"/>
      <c r="G64" s="311"/>
      <c r="H64" s="311"/>
      <c r="I64" s="311"/>
      <c r="J64" s="312"/>
      <c r="M64" s="5"/>
      <c r="N64" s="5"/>
      <c r="O64" s="5"/>
      <c r="P64" s="5"/>
    </row>
    <row r="65" spans="2:16" ht="23.25" customHeight="1" outlineLevel="2" x14ac:dyDescent="0.3">
      <c r="B65" s="144" t="str">
        <f>LEFT(INDEX('2. Харак-ка стилей'!A:A, CHOOSE('Механика подсчета результатов'!V2, 9, 9, 6, 6)), IFERROR(FIND("Сильные стороны", INDEX('2. Харак-ка стилей'!A:A, CHOOSE('Механика подсчета результатов'!V2, 9, 9, 6, 6)))-1, LEN(INDEX('2. Харак-ка стилей'!A:A, CHOOSE('Механика подсчета результатов'!V2, 9, 9, 6, 6)))))</f>
        <v xml:space="preserve">Стиль ориентирован на развитие людей. Вектор в модели человекоцентричности — Лидер. Приоритеты — раскрытие потенциала, создание условий для роста, возможности для профессионального и личностного развития. Вдохновляющий лидер проявляет человекоцентричность через развитие и мотивацию других: он видит потенциал сотрудников, создаёт условия для обучения и роста, даёт амбициозные задачи и поддерживает траекторию развития.
</v>
      </c>
      <c r="C65" s="287"/>
      <c r="D65" s="288"/>
      <c r="E65" s="289"/>
      <c r="F65" s="290"/>
      <c r="G65" s="291"/>
      <c r="H65" s="292"/>
      <c r="I65" s="293"/>
      <c r="J65" s="294"/>
      <c r="M65" s="5"/>
      <c r="N65" s="5"/>
      <c r="O65" s="5"/>
      <c r="P65" s="5"/>
    </row>
    <row r="66" spans="2:16" ht="23.25" customHeight="1" outlineLevel="3" x14ac:dyDescent="0.3">
      <c r="B66" s="295"/>
      <c r="C66" s="154"/>
      <c r="D66" s="154"/>
      <c r="E66" s="154"/>
      <c r="F66" s="154"/>
      <c r="G66" s="154"/>
      <c r="H66" s="154"/>
      <c r="I66" s="154"/>
      <c r="J66" s="296"/>
      <c r="M66" s="5"/>
      <c r="N66" s="5"/>
      <c r="O66" s="5"/>
      <c r="P66" s="5"/>
    </row>
    <row r="67" spans="2:16" ht="23.25" customHeight="1" outlineLevel="2" x14ac:dyDescent="0.3">
      <c r="B67" s="297"/>
      <c r="C67" s="154"/>
      <c r="D67" s="154"/>
      <c r="E67" s="154"/>
      <c r="F67" s="154"/>
      <c r="G67" s="154"/>
      <c r="H67" s="154"/>
      <c r="I67" s="154"/>
      <c r="J67" s="298"/>
      <c r="M67" s="5"/>
      <c r="N67" s="5"/>
      <c r="O67" s="5"/>
      <c r="P67" s="5"/>
    </row>
    <row r="68" spans="2:16" ht="23.25" customHeight="1" outlineLevel="2" x14ac:dyDescent="0.3">
      <c r="B68" s="299"/>
      <c r="C68" s="154"/>
      <c r="D68" s="154"/>
      <c r="E68" s="154"/>
      <c r="F68" s="154"/>
      <c r="G68" s="154"/>
      <c r="H68" s="154"/>
      <c r="I68" s="154"/>
      <c r="J68" s="300"/>
      <c r="M68" s="5"/>
      <c r="N68" s="5"/>
      <c r="O68" s="5"/>
      <c r="P68" s="5"/>
    </row>
    <row r="69" spans="2:16" ht="23.25" customHeight="1" outlineLevel="2" x14ac:dyDescent="0.3">
      <c r="B69" s="301"/>
      <c r="C69" s="302"/>
      <c r="D69" s="303"/>
      <c r="E69" s="304"/>
      <c r="F69" s="305"/>
      <c r="G69" s="306"/>
      <c r="H69" s="307"/>
      <c r="I69" s="308"/>
      <c r="J69" s="309"/>
      <c r="M69" s="5"/>
      <c r="N69" s="5"/>
      <c r="O69" s="5"/>
      <c r="P69" s="5"/>
    </row>
    <row r="70" spans="2:16" ht="23.25" customHeight="1" outlineLevel="2" x14ac:dyDescent="0.3">
      <c r="B70" s="278" t="str">
        <f>HYPERLINK("#'2. Харак-ка стилей'!A"&amp;CHOOSE('Механика подсчета результатов'!V2, 9, 9, 6, 6), "▶ Полное описание стиля")</f>
        <v>▶ Полное описание стиля</v>
      </c>
      <c r="C70" s="279"/>
      <c r="D70" s="280"/>
      <c r="E70" s="281"/>
      <c r="F70" s="282"/>
      <c r="G70" s="283"/>
      <c r="H70" s="284"/>
      <c r="I70" s="285"/>
      <c r="J70" s="286"/>
      <c r="M70" s="5"/>
      <c r="N70" s="5"/>
      <c r="O70" s="5"/>
      <c r="P70" s="5"/>
    </row>
    <row r="71" spans="2:16" ht="7.95" customHeight="1" outlineLevel="3" x14ac:dyDescent="0.3">
      <c r="B71" s="58"/>
      <c r="C71" s="59"/>
      <c r="D71" s="59"/>
      <c r="E71" s="59"/>
      <c r="F71" s="59"/>
      <c r="G71" s="59"/>
      <c r="H71" s="59"/>
      <c r="I71" s="59"/>
      <c r="J71" s="60"/>
      <c r="M71" s="5"/>
      <c r="N71" s="5"/>
      <c r="O71" s="5"/>
      <c r="P71" s="5"/>
    </row>
    <row r="72" spans="2:16" ht="22.95" hidden="1" customHeight="1" outlineLevel="4" x14ac:dyDescent="0.3">
      <c r="B72" s="58"/>
      <c r="C72" s="59"/>
      <c r="D72" s="59"/>
      <c r="E72" s="59"/>
      <c r="F72" s="59"/>
      <c r="G72" s="59"/>
      <c r="H72" s="59"/>
      <c r="I72" s="59"/>
      <c r="J72" s="60"/>
      <c r="M72" s="5"/>
      <c r="N72" s="5"/>
      <c r="O72" s="5"/>
      <c r="P72" s="5"/>
    </row>
    <row r="73" spans="2:16" ht="22.95" hidden="1" customHeight="1" outlineLevel="5" x14ac:dyDescent="0.3">
      <c r="B73" s="58"/>
      <c r="C73" s="59"/>
      <c r="D73" s="59"/>
      <c r="E73" s="59"/>
      <c r="F73" s="59"/>
      <c r="G73" s="59"/>
      <c r="H73" s="59"/>
      <c r="I73" s="59"/>
      <c r="J73" s="60"/>
      <c r="M73" s="5"/>
      <c r="N73" s="5"/>
      <c r="O73" s="5"/>
      <c r="P73" s="5"/>
    </row>
    <row r="74" spans="2:16" ht="22.95" hidden="1" customHeight="1" outlineLevel="3" x14ac:dyDescent="0.3">
      <c r="B74" s="58"/>
      <c r="C74" s="59"/>
      <c r="D74" s="59"/>
      <c r="E74" s="59"/>
      <c r="F74" s="59"/>
      <c r="G74" s="59"/>
      <c r="H74" s="59"/>
      <c r="I74" s="59"/>
      <c r="J74" s="60"/>
      <c r="M74" s="5"/>
      <c r="N74" s="5"/>
      <c r="O74" s="5"/>
      <c r="P74" s="5"/>
    </row>
    <row r="75" spans="2:16" ht="23.25" customHeight="1" outlineLevel="3" x14ac:dyDescent="0.3">
      <c r="B75" s="310" t="str">
        <f>INDEX('2. Харак-ка стилей'!A:A, CHOOSE('Механика подсчета результатов'!V2, 12, 12, 12, 9)-1)</f>
        <v>Стиль "Процессный"</v>
      </c>
      <c r="C75" s="311"/>
      <c r="D75" s="311"/>
      <c r="E75" s="311"/>
      <c r="F75" s="311"/>
      <c r="G75" s="311"/>
      <c r="H75" s="311"/>
      <c r="I75" s="311"/>
      <c r="J75" s="444"/>
      <c r="M75" s="5"/>
      <c r="N75" s="5"/>
      <c r="O75" s="5"/>
      <c r="P75" s="5"/>
    </row>
    <row r="76" spans="2:16" ht="23.25" customHeight="1" outlineLevel="4" x14ac:dyDescent="0.3">
      <c r="B76" s="144" t="str">
        <f>LEFT(INDEX('2. Харак-ка стилей'!A:A, CHOOSE('Механика подсчета результатов'!V2, 12, 12, 12, 9)), IFERROR(FIND("Сильные стороны", INDEX('2. Харак-ка стилей'!A:A, CHOOSE('Механика подсчета результатов'!V2, 12, 12, 12, 9)))-1, LEN(INDEX('2. Харак-ка стилей'!A:A, CHOOSE('Механика подсчета результатов'!V2, 12, 12, 12, 9)))))</f>
        <v xml:space="preserve">Стиль ориентирован на организацию работы. Вектор в модели человекоцентричности — Процессы и практики. Приоритеты — прозрачность, понятные договорённости, устранение барьеров, предсказуемость. Процессный лидер проявляет человекоцентричность через удобную и понятную среду работы: он выстраивает правила взаимодействия, убирает лишние препятствия и создаёт условия, в которых сотрудник может сосредоточиться на задаче. Основная цель — обеспечить максимальную эффективность через отлаженный и структурированный подход, делая акцент на том, чтобы процессы помогали людям, а не мешали им.
</v>
      </c>
      <c r="C76" s="421"/>
      <c r="D76" s="422"/>
      <c r="E76" s="423"/>
      <c r="F76" s="424"/>
      <c r="G76" s="425"/>
      <c r="H76" s="426"/>
      <c r="I76" s="427"/>
      <c r="J76" s="428"/>
      <c r="M76" s="5"/>
      <c r="N76" s="5"/>
      <c r="O76" s="5"/>
      <c r="P76" s="5"/>
    </row>
    <row r="77" spans="2:16" ht="23.25" customHeight="1" outlineLevel="4" x14ac:dyDescent="0.3">
      <c r="B77" s="429"/>
      <c r="C77" s="154"/>
      <c r="D77" s="154"/>
      <c r="E77" s="154"/>
      <c r="F77" s="154"/>
      <c r="G77" s="154"/>
      <c r="H77" s="154"/>
      <c r="I77" s="154"/>
      <c r="J77" s="430"/>
      <c r="M77" s="5"/>
      <c r="N77" s="5"/>
      <c r="O77" s="5"/>
      <c r="P77" s="5"/>
    </row>
    <row r="78" spans="2:16" ht="23.25" customHeight="1" outlineLevel="3" x14ac:dyDescent="0.3">
      <c r="B78" s="431"/>
      <c r="C78" s="154"/>
      <c r="D78" s="154"/>
      <c r="E78" s="154"/>
      <c r="F78" s="154"/>
      <c r="G78" s="154"/>
      <c r="H78" s="154"/>
      <c r="I78" s="154"/>
      <c r="J78" s="432"/>
      <c r="M78" s="5"/>
      <c r="N78" s="5"/>
      <c r="O78" s="5"/>
      <c r="P78" s="5"/>
    </row>
    <row r="79" spans="2:16" ht="23.25" customHeight="1" outlineLevel="3" x14ac:dyDescent="0.3">
      <c r="B79" s="433"/>
      <c r="C79" s="154"/>
      <c r="D79" s="154"/>
      <c r="E79" s="154"/>
      <c r="F79" s="154"/>
      <c r="G79" s="154"/>
      <c r="H79" s="154"/>
      <c r="I79" s="154"/>
      <c r="J79" s="434"/>
      <c r="M79" s="5"/>
      <c r="N79" s="5"/>
      <c r="O79" s="5"/>
      <c r="P79" s="5"/>
    </row>
    <row r="80" spans="2:16" ht="23.25" customHeight="1" outlineLevel="3" x14ac:dyDescent="0.3">
      <c r="B80" s="435"/>
      <c r="C80" s="436"/>
      <c r="D80" s="437"/>
      <c r="E80" s="438"/>
      <c r="F80" s="439"/>
      <c r="G80" s="440"/>
      <c r="H80" s="441"/>
      <c r="I80" s="442"/>
      <c r="J80" s="443"/>
      <c r="M80" s="5"/>
      <c r="N80" s="5"/>
      <c r="O80" s="5"/>
      <c r="P80" s="5"/>
    </row>
    <row r="81" spans="2:16" ht="23.25" customHeight="1" outlineLevel="4" x14ac:dyDescent="0.3">
      <c r="B81" s="278" t="str">
        <f>HYPERLINK("#'2. Харак-ка стилей'!A"&amp;CHOOSE('Механика подсчета результатов'!V2, 12, 12, 12, 9), "▶ Полное описание стиля")</f>
        <v>▶ Полное описание стиля</v>
      </c>
      <c r="C81" s="413"/>
      <c r="D81" s="414"/>
      <c r="E81" s="415"/>
      <c r="F81" s="416"/>
      <c r="G81" s="417"/>
      <c r="H81" s="418"/>
      <c r="I81" s="419"/>
      <c r="J81" s="420"/>
      <c r="M81" s="5"/>
      <c r="N81" s="5"/>
      <c r="O81" s="5"/>
      <c r="P81" s="5"/>
    </row>
    <row r="82" spans="2:16" ht="6.6" customHeight="1" outlineLevel="3" x14ac:dyDescent="0.3">
      <c r="B82" s="58"/>
      <c r="C82" s="59"/>
      <c r="D82" s="59"/>
      <c r="E82" s="59"/>
      <c r="F82" s="59"/>
      <c r="G82" s="59"/>
      <c r="H82" s="59"/>
      <c r="I82" s="59"/>
      <c r="J82" s="60"/>
      <c r="M82" s="5"/>
      <c r="N82" s="5"/>
      <c r="O82" s="5"/>
      <c r="P82" s="5"/>
    </row>
    <row r="83" spans="2:16" ht="22.95" hidden="1" customHeight="1" outlineLevel="2" x14ac:dyDescent="0.3">
      <c r="B83" s="58"/>
      <c r="C83" s="59"/>
      <c r="D83" s="59"/>
      <c r="E83" s="59"/>
      <c r="F83" s="59"/>
      <c r="G83" s="59"/>
      <c r="H83" s="59"/>
      <c r="I83" s="59"/>
      <c r="J83" s="60"/>
      <c r="M83" s="5"/>
      <c r="N83" s="5"/>
      <c r="O83" s="5"/>
      <c r="P83" s="5"/>
    </row>
    <row r="84" spans="2:16" ht="22.95" hidden="1" customHeight="1" outlineLevel="2" x14ac:dyDescent="0.3">
      <c r="B84" s="58"/>
      <c r="C84" s="59"/>
      <c r="D84" s="59"/>
      <c r="E84" s="59"/>
      <c r="F84" s="59"/>
      <c r="G84" s="59"/>
      <c r="H84" s="59"/>
      <c r="I84" s="59"/>
      <c r="J84" s="60"/>
      <c r="M84" s="5"/>
      <c r="N84" s="5"/>
      <c r="O84" s="5"/>
      <c r="P84" s="5"/>
    </row>
    <row r="85" spans="2:16" ht="22.95" hidden="1" customHeight="1" outlineLevel="2" x14ac:dyDescent="0.3">
      <c r="B85" s="58"/>
      <c r="C85" s="59"/>
      <c r="D85" s="59"/>
      <c r="E85" s="59"/>
      <c r="F85" s="59"/>
      <c r="G85" s="59"/>
      <c r="H85" s="59"/>
      <c r="I85" s="59"/>
      <c r="J85" s="60"/>
      <c r="M85" s="5"/>
      <c r="N85" s="5"/>
      <c r="O85" s="5"/>
      <c r="P85" s="5"/>
    </row>
    <row r="86" spans="2:16" ht="22.95" hidden="1" customHeight="1" outlineLevel="3" x14ac:dyDescent="0.3">
      <c r="B86" s="58"/>
      <c r="C86" s="59"/>
      <c r="D86" s="59"/>
      <c r="E86" s="59"/>
      <c r="F86" s="59"/>
      <c r="G86" s="59"/>
      <c r="H86" s="59"/>
      <c r="I86" s="59"/>
      <c r="J86" s="60"/>
      <c r="M86" s="5"/>
      <c r="N86" s="5"/>
      <c r="O86" s="5"/>
      <c r="P86" s="5"/>
    </row>
    <row r="87" spans="2:16" ht="22.95" hidden="1" customHeight="1" outlineLevel="3" x14ac:dyDescent="0.3">
      <c r="B87" s="58"/>
      <c r="C87" s="59"/>
      <c r="D87" s="59"/>
      <c r="E87" s="59"/>
      <c r="F87" s="59"/>
      <c r="G87" s="59"/>
      <c r="H87" s="59"/>
      <c r="I87" s="59"/>
      <c r="J87" s="60"/>
      <c r="M87" s="5"/>
      <c r="N87" s="5"/>
      <c r="O87" s="5"/>
      <c r="P87" s="5"/>
    </row>
    <row r="88" spans="2:16" ht="23.25" customHeight="1" outlineLevel="4" x14ac:dyDescent="0.3">
      <c r="B88" s="134" t="s">
        <v>120</v>
      </c>
      <c r="C88" s="135"/>
      <c r="D88" s="135"/>
      <c r="E88" s="135"/>
      <c r="F88" s="135"/>
      <c r="G88" s="135"/>
      <c r="H88" s="135"/>
      <c r="I88" s="135"/>
      <c r="J88" s="412"/>
      <c r="M88" s="5"/>
      <c r="N88" s="5"/>
      <c r="O88" s="5"/>
      <c r="P88" s="5"/>
    </row>
    <row r="89" spans="2:16" ht="15" customHeight="1" outlineLevel="4" x14ac:dyDescent="0.3">
      <c r="B89" s="344" t="str">
        <f>CHOOSE('Механика подсчета результатов'!V2, '3. Рекомендации по вед стилю '!A3, '3. Рекомендации по вед стилю '!A6, '3. Рекомендации по вед стилю '!A9, '3. Рекомендации по вед стилю '!A12)</f>
        <v>Попробуйте расширить набор инструментов лидера: сохранить фокус на команде и взаимоотношениях, но усилить управляемость через ясные роли, измеримые договоренности и контроль прогресса. Для этого:
Узнайте больше о своей команде:
• Спросите, понимает ли команда, какую ценность для клиента и компании создаёт их работа 
• Проверьте, зафиксированы ли договорённости о ролях, сроках и ответственности 
• Уточните, прозрачны и ясны ли для команды цели и процессы
Внедряйте в практику и делайте чаще:
• Продолжайте совершенствовать командные правила взаимодействия, например, о том, как даём обратную связь, как спорим, как просим помощи.
• На встречах больше обсуждайте, «какую ценность для клиента мы создаём».
• Фиксируйте решения письменно: кто, что, к какому сроку выполняет.
• В сложных ситуациях практикуйте не только уважительный, но и прямой разговор.
• Обозначайте личную ответственность сотрудников
Скорректируйте/ Закрепите изменения и дополните свой стиль:
• Закрепите норму: «Мы уважаем друг друга — и мы доводим до результата».
• Всегда сверяйтесь: создают ли ваши решения ценность для клиента и компании.
• Упростите лишние согласования.
• Введите в свою практику содействие сотрудникам в выборе вектора развития и формировании карьерной траектории.</v>
      </c>
      <c r="C89" s="345"/>
      <c r="D89" s="346"/>
      <c r="E89" s="347"/>
      <c r="F89" s="348"/>
      <c r="G89" s="349"/>
      <c r="H89" s="350"/>
      <c r="I89" s="351"/>
      <c r="J89" s="352"/>
      <c r="M89" s="5"/>
      <c r="N89" s="5"/>
      <c r="O89" s="5"/>
      <c r="P89" s="5"/>
    </row>
    <row r="90" spans="2:16" ht="15" customHeight="1" outlineLevel="4" x14ac:dyDescent="0.3">
      <c r="B90" s="353"/>
      <c r="C90" s="154"/>
      <c r="D90" s="154"/>
      <c r="E90" s="154"/>
      <c r="F90" s="154"/>
      <c r="G90" s="154"/>
      <c r="H90" s="154"/>
      <c r="I90" s="154"/>
      <c r="J90" s="354"/>
      <c r="M90" s="5"/>
      <c r="N90" s="5"/>
      <c r="O90" s="5"/>
      <c r="P90" s="5"/>
    </row>
    <row r="91" spans="2:16" ht="15" customHeight="1" outlineLevel="3" x14ac:dyDescent="0.3">
      <c r="B91" s="355"/>
      <c r="C91" s="154"/>
      <c r="D91" s="154"/>
      <c r="E91" s="154"/>
      <c r="F91" s="154"/>
      <c r="G91" s="154"/>
      <c r="H91" s="154"/>
      <c r="I91" s="154"/>
      <c r="J91" s="356"/>
      <c r="M91" s="5"/>
      <c r="N91" s="5"/>
      <c r="O91" s="5"/>
      <c r="P91" s="5"/>
    </row>
    <row r="92" spans="2:16" ht="15" customHeight="1" outlineLevel="2" x14ac:dyDescent="0.3">
      <c r="B92" s="357"/>
      <c r="C92" s="154"/>
      <c r="D92" s="154"/>
      <c r="E92" s="154"/>
      <c r="F92" s="154"/>
      <c r="G92" s="154"/>
      <c r="H92" s="154"/>
      <c r="I92" s="154"/>
      <c r="J92" s="358"/>
      <c r="M92" s="5"/>
      <c r="N92" s="5"/>
      <c r="O92" s="5"/>
      <c r="P92" s="5"/>
    </row>
    <row r="93" spans="2:16" ht="15" customHeight="1" outlineLevel="2" x14ac:dyDescent="0.3">
      <c r="B93" s="359"/>
      <c r="C93" s="154"/>
      <c r="D93" s="154"/>
      <c r="E93" s="154"/>
      <c r="F93" s="154"/>
      <c r="G93" s="154"/>
      <c r="H93" s="154"/>
      <c r="I93" s="154"/>
      <c r="J93" s="360"/>
      <c r="M93" s="5"/>
      <c r="N93" s="5"/>
      <c r="O93" s="5"/>
      <c r="P93" s="5"/>
    </row>
    <row r="94" spans="2:16" ht="15" customHeight="1" outlineLevel="1" x14ac:dyDescent="0.3">
      <c r="B94" s="361"/>
      <c r="C94" s="154"/>
      <c r="D94" s="154"/>
      <c r="E94" s="154"/>
      <c r="F94" s="154"/>
      <c r="G94" s="154"/>
      <c r="H94" s="154"/>
      <c r="I94" s="154"/>
      <c r="J94" s="362"/>
      <c r="M94" s="5"/>
      <c r="N94" s="5"/>
      <c r="O94" s="5"/>
      <c r="P94" s="5"/>
    </row>
    <row r="95" spans="2:16" ht="27.75" customHeight="1" outlineLevel="1" x14ac:dyDescent="0.3">
      <c r="B95" s="363"/>
      <c r="C95" s="154"/>
      <c r="D95" s="154"/>
      <c r="E95" s="154"/>
      <c r="F95" s="154"/>
      <c r="G95" s="154"/>
      <c r="H95" s="154"/>
      <c r="I95" s="154"/>
      <c r="J95" s="364"/>
      <c r="M95" s="5"/>
      <c r="N95" s="5"/>
      <c r="O95" s="5"/>
      <c r="P95" s="5"/>
    </row>
    <row r="96" spans="2:16" ht="15" customHeight="1" outlineLevel="1" x14ac:dyDescent="0.3">
      <c r="B96" s="365"/>
      <c r="C96" s="154"/>
      <c r="D96" s="154"/>
      <c r="E96" s="154"/>
      <c r="F96" s="154"/>
      <c r="G96" s="154"/>
      <c r="H96" s="154"/>
      <c r="I96" s="154"/>
      <c r="J96" s="366"/>
      <c r="M96" s="5"/>
      <c r="N96" s="5"/>
      <c r="O96" s="5"/>
      <c r="P96" s="5"/>
    </row>
    <row r="97" spans="2:16" ht="15" customHeight="1" x14ac:dyDescent="0.3">
      <c r="B97" s="367"/>
      <c r="C97" s="154"/>
      <c r="D97" s="154"/>
      <c r="E97" s="154"/>
      <c r="F97" s="154"/>
      <c r="G97" s="154"/>
      <c r="H97" s="154"/>
      <c r="I97" s="154"/>
      <c r="J97" s="368"/>
      <c r="M97" s="5"/>
      <c r="N97" s="5"/>
      <c r="O97" s="5"/>
      <c r="P97" s="5"/>
    </row>
    <row r="98" spans="2:16" ht="15" customHeight="1" x14ac:dyDescent="0.3">
      <c r="B98" s="369"/>
      <c r="C98" s="154"/>
      <c r="D98" s="154"/>
      <c r="E98" s="154"/>
      <c r="F98" s="154"/>
      <c r="G98" s="154"/>
      <c r="H98" s="154"/>
      <c r="I98" s="154"/>
      <c r="J98" s="370"/>
      <c r="M98" s="5"/>
      <c r="N98" s="5"/>
      <c r="O98" s="5"/>
      <c r="P98" s="5"/>
    </row>
    <row r="99" spans="2:16" ht="15" customHeight="1" x14ac:dyDescent="0.3">
      <c r="B99" s="371"/>
      <c r="C99" s="154"/>
      <c r="D99" s="154"/>
      <c r="E99" s="154"/>
      <c r="F99" s="154"/>
      <c r="G99" s="154"/>
      <c r="H99" s="154"/>
      <c r="I99" s="154"/>
      <c r="J99" s="372"/>
      <c r="M99" s="5"/>
      <c r="N99" s="5"/>
      <c r="O99" s="5"/>
      <c r="P99" s="5"/>
    </row>
    <row r="100" spans="2:16" ht="15" customHeight="1" x14ac:dyDescent="0.3">
      <c r="B100" s="373"/>
      <c r="C100" s="154"/>
      <c r="D100" s="154"/>
      <c r="E100" s="154"/>
      <c r="F100" s="154"/>
      <c r="G100" s="154"/>
      <c r="H100" s="154"/>
      <c r="I100" s="154"/>
      <c r="J100" s="374"/>
      <c r="M100" s="5"/>
      <c r="N100" s="5"/>
      <c r="O100" s="5"/>
      <c r="P100" s="5"/>
    </row>
    <row r="101" spans="2:16" ht="15" customHeight="1" x14ac:dyDescent="0.3">
      <c r="B101" s="375"/>
      <c r="C101" s="154"/>
      <c r="D101" s="154"/>
      <c r="E101" s="154"/>
      <c r="F101" s="154"/>
      <c r="G101" s="154"/>
      <c r="H101" s="154"/>
      <c r="I101" s="154"/>
      <c r="J101" s="376"/>
      <c r="M101" s="5"/>
      <c r="N101" s="5"/>
      <c r="O101" s="5"/>
      <c r="P101" s="5"/>
    </row>
    <row r="102" spans="2:16" ht="15" customHeight="1" x14ac:dyDescent="0.3">
      <c r="B102" s="377"/>
      <c r="C102" s="154"/>
      <c r="D102" s="154"/>
      <c r="E102" s="154"/>
      <c r="F102" s="154"/>
      <c r="G102" s="154"/>
      <c r="H102" s="154"/>
      <c r="I102" s="154"/>
      <c r="J102" s="378"/>
      <c r="M102" s="5"/>
      <c r="N102" s="5"/>
      <c r="O102" s="5"/>
      <c r="P102" s="5"/>
    </row>
    <row r="103" spans="2:16" ht="15" hidden="1" customHeight="1" outlineLevel="1" x14ac:dyDescent="0.3">
      <c r="B103" s="379"/>
      <c r="C103" s="154"/>
      <c r="D103" s="154"/>
      <c r="E103" s="154"/>
      <c r="F103" s="154"/>
      <c r="G103" s="154"/>
      <c r="H103" s="154"/>
      <c r="I103" s="154"/>
      <c r="J103" s="380"/>
      <c r="M103" s="5"/>
      <c r="N103" s="5"/>
      <c r="O103" s="5"/>
      <c r="P103" s="5"/>
    </row>
    <row r="104" spans="2:16" ht="15" hidden="1" customHeight="1" outlineLevel="1" x14ac:dyDescent="0.3">
      <c r="B104" s="381"/>
      <c r="C104" s="154"/>
      <c r="D104" s="154"/>
      <c r="E104" s="154"/>
      <c r="F104" s="154"/>
      <c r="G104" s="154"/>
      <c r="H104" s="154"/>
      <c r="I104" s="154"/>
      <c r="J104" s="382"/>
      <c r="M104" s="5"/>
      <c r="N104" s="5"/>
      <c r="O104" s="5"/>
      <c r="P104" s="5"/>
    </row>
    <row r="105" spans="2:16" ht="15" hidden="1" customHeight="1" outlineLevel="1" x14ac:dyDescent="0.3">
      <c r="B105" s="383"/>
      <c r="C105" s="154"/>
      <c r="D105" s="154"/>
      <c r="E105" s="154"/>
      <c r="F105" s="154"/>
      <c r="G105" s="154"/>
      <c r="H105" s="154"/>
      <c r="I105" s="154"/>
      <c r="J105" s="384"/>
      <c r="M105" s="5"/>
      <c r="N105" s="5"/>
      <c r="O105" s="5"/>
      <c r="P105" s="5"/>
    </row>
    <row r="106" spans="2:16" ht="15" hidden="1" customHeight="1" outlineLevel="1" x14ac:dyDescent="0.3">
      <c r="B106" s="385"/>
      <c r="C106" s="154"/>
      <c r="D106" s="154"/>
      <c r="E106" s="154"/>
      <c r="F106" s="154"/>
      <c r="G106" s="154"/>
      <c r="H106" s="154"/>
      <c r="I106" s="154"/>
      <c r="J106" s="386"/>
      <c r="M106" s="5"/>
      <c r="N106" s="5"/>
      <c r="O106" s="5"/>
      <c r="P106" s="5"/>
    </row>
    <row r="107" spans="2:16" ht="15" hidden="1" customHeight="1" outlineLevel="1" x14ac:dyDescent="0.3">
      <c r="B107" s="387"/>
      <c r="C107" s="258"/>
      <c r="D107" s="258"/>
      <c r="E107" s="258"/>
      <c r="F107" s="258"/>
      <c r="G107" s="258"/>
      <c r="H107" s="258"/>
      <c r="I107" s="258"/>
      <c r="J107" s="388"/>
      <c r="M107" s="5"/>
      <c r="N107" s="5"/>
      <c r="O107" s="5"/>
      <c r="P107" s="5"/>
    </row>
    <row r="108" spans="2:16" ht="15" hidden="1" customHeight="1" outlineLevel="1" x14ac:dyDescent="0.3">
      <c r="B108" s="389"/>
      <c r="C108" s="258"/>
      <c r="D108" s="258"/>
      <c r="E108" s="258"/>
      <c r="F108" s="258"/>
      <c r="G108" s="258"/>
      <c r="H108" s="258"/>
      <c r="I108" s="258"/>
      <c r="J108" s="390"/>
      <c r="M108" s="5"/>
      <c r="N108" s="5"/>
      <c r="O108" s="5"/>
      <c r="P108" s="5"/>
    </row>
    <row r="109" spans="2:16" ht="15" hidden="1" customHeight="1" outlineLevel="1" x14ac:dyDescent="0.3">
      <c r="B109" s="391"/>
      <c r="C109" s="258"/>
      <c r="D109" s="258"/>
      <c r="E109" s="258"/>
      <c r="F109" s="258"/>
      <c r="G109" s="258"/>
      <c r="H109" s="258"/>
      <c r="I109" s="258"/>
      <c r="J109" s="392"/>
      <c r="M109" s="5"/>
      <c r="N109" s="5"/>
      <c r="O109" s="5"/>
      <c r="P109" s="5"/>
    </row>
    <row r="110" spans="2:16" ht="15" hidden="1" customHeight="1" outlineLevel="1" x14ac:dyDescent="0.3">
      <c r="B110" s="393"/>
      <c r="C110" s="258"/>
      <c r="D110" s="258"/>
      <c r="E110" s="258"/>
      <c r="F110" s="258"/>
      <c r="G110" s="258"/>
      <c r="H110" s="258"/>
      <c r="I110" s="258"/>
      <c r="J110" s="394"/>
      <c r="M110" s="5"/>
      <c r="N110" s="5"/>
      <c r="O110" s="5"/>
      <c r="P110" s="5"/>
    </row>
    <row r="111" spans="2:16" ht="15" hidden="1" customHeight="1" outlineLevel="1" x14ac:dyDescent="0.3">
      <c r="B111" s="395"/>
      <c r="C111" s="154"/>
      <c r="D111" s="154"/>
      <c r="E111" s="154"/>
      <c r="F111" s="154"/>
      <c r="G111" s="154"/>
      <c r="H111" s="154"/>
      <c r="I111" s="154"/>
      <c r="J111" s="396"/>
      <c r="M111" s="5"/>
      <c r="N111" s="5"/>
      <c r="O111" s="5"/>
      <c r="P111" s="5"/>
    </row>
    <row r="112" spans="2:16" ht="15" customHeight="1" collapsed="1" x14ac:dyDescent="0.3">
      <c r="B112" s="397"/>
      <c r="C112" s="154"/>
      <c r="D112" s="154"/>
      <c r="E112" s="154"/>
      <c r="F112" s="154"/>
      <c r="G112" s="154"/>
      <c r="H112" s="154"/>
      <c r="I112" s="154"/>
      <c r="J112" s="398"/>
      <c r="M112" s="5"/>
      <c r="N112" s="5"/>
      <c r="O112" s="5"/>
      <c r="P112" s="5"/>
    </row>
    <row r="113" spans="2:16" ht="15" customHeight="1" x14ac:dyDescent="0.3">
      <c r="B113" s="399"/>
      <c r="C113" s="154"/>
      <c r="D113" s="154"/>
      <c r="E113" s="154"/>
      <c r="F113" s="154"/>
      <c r="G113" s="154"/>
      <c r="H113" s="154"/>
      <c r="I113" s="154"/>
      <c r="J113" s="400"/>
      <c r="M113" s="5"/>
      <c r="N113" s="5"/>
      <c r="O113" s="5"/>
      <c r="P113" s="5"/>
    </row>
    <row r="114" spans="2:16" ht="14.4" x14ac:dyDescent="0.3">
      <c r="B114" s="401"/>
      <c r="C114" s="154"/>
      <c r="D114" s="154"/>
      <c r="E114" s="154"/>
      <c r="F114" s="154"/>
      <c r="G114" s="154"/>
      <c r="H114" s="154"/>
      <c r="I114" s="154"/>
      <c r="J114" s="402"/>
      <c r="M114" s="5"/>
      <c r="N114" s="5"/>
      <c r="O114" s="5"/>
      <c r="P114" s="5"/>
    </row>
    <row r="115" spans="2:16" ht="91.95" customHeight="1" x14ac:dyDescent="0.3">
      <c r="B115" s="403"/>
      <c r="C115" s="404"/>
      <c r="D115" s="405"/>
      <c r="E115" s="406"/>
      <c r="F115" s="407"/>
      <c r="G115" s="408"/>
      <c r="H115" s="409"/>
      <c r="I115" s="410"/>
      <c r="J115" s="411"/>
      <c r="M115" s="5"/>
      <c r="N115" s="5"/>
      <c r="O115" s="5"/>
      <c r="P115" s="5"/>
    </row>
    <row r="116" spans="2:16" ht="14.4" x14ac:dyDescent="0.3">
      <c r="B116" s="59"/>
      <c r="C116" s="59"/>
      <c r="D116" s="59"/>
      <c r="E116" s="59"/>
      <c r="F116" s="59"/>
      <c r="G116" s="59"/>
      <c r="H116" s="59"/>
      <c r="I116" s="59"/>
      <c r="J116" s="59"/>
      <c r="M116" s="5"/>
      <c r="N116" s="5"/>
      <c r="O116" s="5"/>
      <c r="P116" s="5"/>
    </row>
    <row r="117" spans="2:16" ht="14.4" x14ac:dyDescent="0.3">
      <c r="B117" s="59"/>
      <c r="C117" s="59"/>
      <c r="D117" s="59"/>
      <c r="E117" s="59"/>
      <c r="F117" s="59"/>
      <c r="G117" s="59"/>
      <c r="H117" s="59"/>
      <c r="I117" s="59"/>
      <c r="J117" s="59"/>
      <c r="M117" s="5"/>
      <c r="N117" s="5"/>
      <c r="O117" s="5"/>
      <c r="P117" s="5"/>
    </row>
    <row r="118" spans="2:16" ht="14.4" x14ac:dyDescent="0.3">
      <c r="B118" s="59"/>
      <c r="C118" s="59"/>
      <c r="D118" s="59"/>
      <c r="E118" s="59"/>
      <c r="F118" s="59"/>
      <c r="G118" s="59"/>
      <c r="H118" s="59"/>
      <c r="I118" s="59"/>
      <c r="J118" s="59"/>
      <c r="M118" s="5"/>
      <c r="N118" s="5"/>
      <c r="O118" s="5"/>
      <c r="P118" s="5"/>
    </row>
    <row r="119" spans="2:16" ht="14.4" x14ac:dyDescent="0.3">
      <c r="B119" s="59"/>
      <c r="C119" s="59"/>
      <c r="D119" s="59"/>
      <c r="E119" s="59"/>
      <c r="F119" s="59"/>
      <c r="G119" s="59"/>
      <c r="H119" s="59"/>
      <c r="I119" s="59"/>
      <c r="J119" s="59"/>
      <c r="M119" s="5"/>
      <c r="N119" s="5"/>
      <c r="O119" s="5"/>
      <c r="P119" s="5"/>
    </row>
    <row r="120" spans="2:16" ht="14.4" x14ac:dyDescent="0.3">
      <c r="B120" s="59"/>
      <c r="C120" s="59"/>
      <c r="D120" s="59"/>
      <c r="E120" s="59"/>
      <c r="F120" s="59"/>
      <c r="G120" s="59"/>
      <c r="H120" s="59"/>
      <c r="I120" s="59"/>
      <c r="J120" s="59"/>
      <c r="M120" s="5"/>
      <c r="N120" s="5"/>
      <c r="O120" s="5"/>
      <c r="P120" s="5"/>
    </row>
    <row r="121" spans="2:16" ht="14.4" x14ac:dyDescent="0.3">
      <c r="M121" s="5"/>
      <c r="N121" s="5"/>
      <c r="O121" s="5"/>
      <c r="P121" s="5"/>
    </row>
    <row r="122" spans="2:16" ht="14.4" x14ac:dyDescent="0.3">
      <c r="M122" s="5"/>
      <c r="N122" s="5"/>
      <c r="O122" s="5"/>
      <c r="P122" s="5"/>
    </row>
    <row r="123" spans="2:16" ht="14.4" x14ac:dyDescent="0.3">
      <c r="M123" s="5"/>
      <c r="N123" s="5"/>
      <c r="O123" s="5"/>
      <c r="P123" s="5"/>
    </row>
    <row r="124" spans="2:16" ht="14.4" x14ac:dyDescent="0.3">
      <c r="M124" s="5"/>
      <c r="N124" s="5"/>
      <c r="O124" s="5"/>
      <c r="P124" s="5"/>
    </row>
    <row r="125" spans="2:16" ht="14.4" x14ac:dyDescent="0.3">
      <c r="M125" s="5"/>
      <c r="N125" s="5"/>
      <c r="O125" s="5"/>
      <c r="P125" s="5"/>
    </row>
    <row r="126" spans="2:16" ht="14.4" x14ac:dyDescent="0.3">
      <c r="M126" s="5"/>
      <c r="N126" s="5"/>
      <c r="O126" s="5"/>
      <c r="P126" s="5"/>
    </row>
    <row r="127" spans="2:16" ht="14.4" x14ac:dyDescent="0.3">
      <c r="M127" s="5"/>
      <c r="N127" s="5"/>
      <c r="O127" s="5"/>
      <c r="P127" s="5"/>
    </row>
    <row r="128" spans="2:16" ht="14.4" x14ac:dyDescent="0.3">
      <c r="M128" s="5"/>
      <c r="N128" s="5"/>
      <c r="O128" s="5"/>
      <c r="P128" s="5"/>
    </row>
    <row r="129" spans="13:16" ht="14.4" x14ac:dyDescent="0.3">
      <c r="M129" s="5"/>
      <c r="N129" s="5"/>
      <c r="O129" s="5"/>
      <c r="P129" s="5"/>
    </row>
    <row r="130" spans="13:16" ht="27.75" customHeight="1" x14ac:dyDescent="0.3">
      <c r="M130" s="5"/>
      <c r="N130" s="5"/>
      <c r="O130" s="5"/>
      <c r="P130" s="5"/>
    </row>
    <row r="131" spans="13:16" ht="14.4" x14ac:dyDescent="0.3">
      <c r="M131" s="5"/>
      <c r="N131" s="5"/>
      <c r="O131" s="5"/>
      <c r="P131" s="5"/>
    </row>
    <row r="132" spans="13:16" ht="14.4" x14ac:dyDescent="0.3">
      <c r="M132" s="5"/>
      <c r="N132" s="5"/>
      <c r="O132" s="5"/>
      <c r="P132" s="5"/>
    </row>
    <row r="133" spans="13:16" ht="14.4" x14ac:dyDescent="0.3">
      <c r="M133" s="5"/>
      <c r="N133" s="5"/>
      <c r="O133" s="5"/>
      <c r="P133" s="5"/>
    </row>
    <row r="134" spans="13:16" ht="14.4" x14ac:dyDescent="0.3">
      <c r="M134" s="5"/>
      <c r="N134" s="5"/>
      <c r="O134" s="5"/>
      <c r="P134" s="5"/>
    </row>
    <row r="135" spans="13:16" ht="14.4" x14ac:dyDescent="0.3">
      <c r="M135" s="5"/>
      <c r="N135" s="5"/>
      <c r="O135" s="5"/>
      <c r="P135" s="5"/>
    </row>
    <row r="136" spans="13:16" ht="14.4" x14ac:dyDescent="0.3">
      <c r="M136" s="5"/>
      <c r="N136" s="5"/>
      <c r="O136" s="5"/>
      <c r="P136" s="5"/>
    </row>
    <row r="137" spans="13:16" ht="14.4" x14ac:dyDescent="0.3">
      <c r="M137" s="5"/>
      <c r="N137" s="5"/>
      <c r="O137" s="5"/>
      <c r="P137" s="5"/>
    </row>
    <row r="138" spans="13:16" ht="14.4" x14ac:dyDescent="0.3">
      <c r="M138" s="5"/>
      <c r="N138" s="5"/>
      <c r="O138" s="5"/>
      <c r="P138" s="5"/>
    </row>
    <row r="139" spans="13:16" ht="14.4" x14ac:dyDescent="0.3">
      <c r="M139" s="5"/>
      <c r="N139" s="5"/>
      <c r="O139" s="5"/>
      <c r="P139" s="5"/>
    </row>
    <row r="140" spans="13:16" ht="14.4" x14ac:dyDescent="0.3">
      <c r="M140" s="5"/>
      <c r="N140" s="5"/>
      <c r="O140" s="5"/>
      <c r="P140" s="5"/>
    </row>
    <row r="141" spans="13:16" ht="14.4" x14ac:dyDescent="0.3">
      <c r="M141" s="5"/>
      <c r="N141" s="5"/>
      <c r="O141" s="5"/>
      <c r="P141" s="5"/>
    </row>
    <row r="142" spans="13:16" ht="14.4" x14ac:dyDescent="0.3">
      <c r="M142" s="5"/>
      <c r="N142" s="5"/>
      <c r="O142" s="5"/>
      <c r="P142" s="5"/>
    </row>
    <row r="143" spans="13:16" ht="14.4" x14ac:dyDescent="0.3">
      <c r="M143" s="5"/>
      <c r="N143" s="5"/>
      <c r="O143" s="5"/>
      <c r="P143" s="5"/>
    </row>
    <row r="144" spans="13:16" ht="14.4" x14ac:dyDescent="0.3">
      <c r="M144" s="5"/>
      <c r="N144" s="5"/>
      <c r="O144" s="5"/>
      <c r="P144" s="5"/>
    </row>
    <row r="145" spans="13:16" ht="14.4" x14ac:dyDescent="0.3">
      <c r="M145" s="5"/>
      <c r="N145" s="5"/>
      <c r="O145" s="5"/>
      <c r="P145" s="5"/>
    </row>
    <row r="146" spans="13:16" ht="14.4" x14ac:dyDescent="0.3">
      <c r="M146" s="5"/>
      <c r="N146" s="5"/>
      <c r="O146" s="5"/>
      <c r="P146" s="5"/>
    </row>
    <row r="147" spans="13:16" ht="14.4" x14ac:dyDescent="0.3">
      <c r="M147" s="5"/>
      <c r="N147" s="5"/>
      <c r="O147" s="5"/>
      <c r="P147" s="5"/>
    </row>
    <row r="148" spans="13:16" ht="14.4" x14ac:dyDescent="0.3">
      <c r="M148" s="5"/>
      <c r="N148" s="5"/>
      <c r="O148" s="5"/>
      <c r="P148" s="5"/>
    </row>
    <row r="149" spans="13:16" ht="14.4" x14ac:dyDescent="0.3">
      <c r="M149" s="5"/>
      <c r="N149" s="5"/>
      <c r="O149" s="5"/>
      <c r="P149" s="5"/>
    </row>
    <row r="150" spans="13:16" ht="14.4" x14ac:dyDescent="0.3">
      <c r="M150" s="5"/>
      <c r="N150" s="5"/>
      <c r="O150" s="5"/>
      <c r="P150" s="5"/>
    </row>
    <row r="151" spans="13:16" ht="14.4" x14ac:dyDescent="0.3">
      <c r="M151" s="5"/>
      <c r="N151" s="5"/>
      <c r="O151" s="5"/>
      <c r="P151" s="5"/>
    </row>
    <row r="152" spans="13:16" ht="14.4" x14ac:dyDescent="0.3">
      <c r="M152" s="5"/>
      <c r="N152" s="5"/>
      <c r="O152" s="5"/>
      <c r="P152" s="5"/>
    </row>
    <row r="153" spans="13:16" ht="14.4" x14ac:dyDescent="0.3">
      <c r="M153" s="5"/>
      <c r="N153" s="5"/>
      <c r="O153" s="5"/>
      <c r="P153" s="5"/>
    </row>
    <row r="154" spans="13:16" ht="14.4" x14ac:dyDescent="0.3">
      <c r="M154" s="5"/>
      <c r="N154" s="5"/>
      <c r="O154" s="5"/>
      <c r="P154" s="5"/>
    </row>
    <row r="155" spans="13:16" ht="14.4" x14ac:dyDescent="0.3">
      <c r="M155" s="5"/>
      <c r="N155" s="5"/>
      <c r="O155" s="5"/>
      <c r="P155" s="5"/>
    </row>
    <row r="156" spans="13:16" ht="14.4" x14ac:dyDescent="0.3">
      <c r="M156" s="5"/>
      <c r="N156" s="5"/>
      <c r="O156" s="5"/>
      <c r="P156" s="5"/>
    </row>
    <row r="157" spans="13:16" ht="14.4" x14ac:dyDescent="0.3">
      <c r="M157" s="5"/>
      <c r="N157" s="5"/>
      <c r="O157" s="5"/>
      <c r="P157" s="5"/>
    </row>
    <row r="158" spans="13:16" ht="14.4" x14ac:dyDescent="0.3">
      <c r="M158" s="5"/>
      <c r="N158" s="5"/>
      <c r="O158" s="5"/>
      <c r="P158" s="5"/>
    </row>
    <row r="159" spans="13:16" ht="14.4" x14ac:dyDescent="0.3">
      <c r="M159" s="5"/>
      <c r="N159" s="5"/>
      <c r="O159" s="5"/>
      <c r="P159" s="5"/>
    </row>
    <row r="160" spans="13:16" ht="14.4" x14ac:dyDescent="0.3">
      <c r="M160" s="5"/>
      <c r="N160" s="5"/>
      <c r="O160" s="5"/>
      <c r="P160" s="5"/>
    </row>
    <row r="161" spans="13:16" ht="14.4" x14ac:dyDescent="0.3">
      <c r="M161" s="5"/>
      <c r="N161" s="5"/>
      <c r="O161" s="5"/>
      <c r="P161" s="5"/>
    </row>
    <row r="162" spans="13:16" ht="14.4" x14ac:dyDescent="0.3">
      <c r="M162" s="5"/>
      <c r="N162" s="5"/>
      <c r="O162" s="5"/>
      <c r="P162" s="5"/>
    </row>
    <row r="163" spans="13:16" ht="14.4" x14ac:dyDescent="0.3">
      <c r="M163" s="5"/>
      <c r="N163" s="5"/>
      <c r="O163" s="5"/>
      <c r="P163" s="5"/>
    </row>
    <row r="164" spans="13:16" ht="14.4" x14ac:dyDescent="0.3">
      <c r="M164" s="5"/>
      <c r="N164" s="5"/>
      <c r="O164" s="5"/>
      <c r="P164" s="5"/>
    </row>
    <row r="165" spans="13:16" ht="14.4" x14ac:dyDescent="0.3">
      <c r="M165" s="5"/>
      <c r="N165" s="5"/>
      <c r="O165" s="5"/>
      <c r="P165" s="5"/>
    </row>
    <row r="166" spans="13:16" ht="14.4" x14ac:dyDescent="0.3">
      <c r="M166" s="5"/>
      <c r="N166" s="5"/>
      <c r="O166" s="5"/>
      <c r="P166" s="5"/>
    </row>
    <row r="167" spans="13:16" ht="14.4" x14ac:dyDescent="0.3">
      <c r="M167" s="5"/>
      <c r="N167" s="5"/>
      <c r="O167" s="5"/>
      <c r="P167" s="5"/>
    </row>
    <row r="168" spans="13:16" ht="14.4" x14ac:dyDescent="0.3">
      <c r="M168" s="5"/>
      <c r="N168" s="5"/>
      <c r="O168" s="5"/>
      <c r="P168" s="5"/>
    </row>
    <row r="169" spans="13:16" ht="14.4" x14ac:dyDescent="0.3">
      <c r="M169" s="5"/>
      <c r="N169" s="5"/>
      <c r="O169" s="5"/>
      <c r="P169" s="5"/>
    </row>
    <row r="170" spans="13:16" ht="14.4" x14ac:dyDescent="0.3">
      <c r="M170" s="5"/>
      <c r="N170" s="5"/>
      <c r="O170" s="5"/>
      <c r="P170" s="5"/>
    </row>
  </sheetData>
  <mergeCells count="34">
    <mergeCell ref="B89:J115"/>
    <mergeCell ref="B88:J88"/>
    <mergeCell ref="B81:J81"/>
    <mergeCell ref="B76:J80"/>
    <mergeCell ref="B75:J75"/>
    <mergeCell ref="B70:J70"/>
    <mergeCell ref="B65:J69"/>
    <mergeCell ref="B64:J64"/>
    <mergeCell ref="B59:J59"/>
    <mergeCell ref="B54:J58"/>
    <mergeCell ref="B53:J53"/>
    <mergeCell ref="B51:J51"/>
    <mergeCell ref="B50:J50"/>
    <mergeCell ref="B33:J48"/>
    <mergeCell ref="B32:J32"/>
    <mergeCell ref="B29:J29"/>
    <mergeCell ref="B27:C27"/>
    <mergeCell ref="D27:E27"/>
    <mergeCell ref="F27:G27"/>
    <mergeCell ref="H27:I27"/>
    <mergeCell ref="F26:G26"/>
    <mergeCell ref="H26:I26"/>
    <mergeCell ref="B26:C26"/>
    <mergeCell ref="D26:E26"/>
    <mergeCell ref="F25:G25"/>
    <mergeCell ref="B25:C25"/>
    <mergeCell ref="B1:J2"/>
    <mergeCell ref="B24:J24"/>
    <mergeCell ref="H25:I25"/>
    <mergeCell ref="D25:E25"/>
    <mergeCell ref="B4:J4"/>
    <mergeCell ref="B5:J11"/>
    <mergeCell ref="B13:J13"/>
    <mergeCell ref="B14:J22"/>
  </mergeCells>
  <pageMargins left="0.70000004768371582" right="0.70000004768371582" top="0.75" bottom="0.75" header="0.5118110179901123" footer="0.5118110179901123"/>
  <pageSetup paperSize="9" fitToWidth="0"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34"/>
  <sheetViews>
    <sheetView workbookViewId="0">
      <selection activeCell="A29" sqref="A29:XFD29"/>
    </sheetView>
  </sheetViews>
  <sheetFormatPr defaultColWidth="9.109375" defaultRowHeight="14.25" customHeight="1" x14ac:dyDescent="0.3"/>
  <cols>
    <col min="26" max="26" width="9.109375" hidden="1" bestFit="1" customWidth="1"/>
  </cols>
  <sheetData>
    <row r="1" spans="1:26" ht="17.25" customHeight="1" x14ac:dyDescent="0.3">
      <c r="A1" s="62" t="s">
        <v>128</v>
      </c>
      <c r="Z1">
        <v>1</v>
      </c>
    </row>
    <row r="2" spans="1:26" ht="14.4" x14ac:dyDescent="0.3">
      <c r="A2" s="64"/>
      <c r="Z2">
        <v>2</v>
      </c>
    </row>
    <row r="3" spans="1:26" ht="15" customHeight="1" x14ac:dyDescent="0.3">
      <c r="A3" s="63" t="s">
        <v>137</v>
      </c>
      <c r="Z3">
        <v>3</v>
      </c>
    </row>
    <row r="4" spans="1:26" ht="15" customHeight="1" x14ac:dyDescent="0.3">
      <c r="A4" s="63" t="s">
        <v>143</v>
      </c>
      <c r="Z4">
        <v>4</v>
      </c>
    </row>
    <row r="5" spans="1:26" ht="15" customHeight="1" x14ac:dyDescent="0.3">
      <c r="A5" s="63"/>
      <c r="Z5">
        <v>5</v>
      </c>
    </row>
    <row r="6" spans="1:26" ht="17.25" customHeight="1" x14ac:dyDescent="0.3">
      <c r="A6" s="62" t="s">
        <v>138</v>
      </c>
      <c r="Z6">
        <v>6</v>
      </c>
    </row>
    <row r="7" spans="1:26" ht="14.4" x14ac:dyDescent="0.3">
      <c r="A7" s="64"/>
      <c r="Z7">
        <v>7</v>
      </c>
    </row>
    <row r="8" spans="1:26" ht="15" customHeight="1" x14ac:dyDescent="0.3">
      <c r="A8" s="63" t="s">
        <v>147</v>
      </c>
    </row>
    <row r="9" spans="1:26" ht="15" customHeight="1" x14ac:dyDescent="0.3">
      <c r="A9" s="63" t="s">
        <v>131</v>
      </c>
    </row>
    <row r="10" spans="1:26" ht="15" customHeight="1" x14ac:dyDescent="0.3">
      <c r="A10" s="63"/>
    </row>
    <row r="11" spans="1:26" ht="17.25" customHeight="1" x14ac:dyDescent="0.3">
      <c r="A11" s="62" t="s">
        <v>132</v>
      </c>
    </row>
    <row r="12" spans="1:26" ht="14.4" x14ac:dyDescent="0.3">
      <c r="A12" s="64"/>
    </row>
    <row r="13" spans="1:26" ht="15" customHeight="1" x14ac:dyDescent="0.3">
      <c r="A13" s="63" t="s">
        <v>129</v>
      </c>
    </row>
    <row r="14" spans="1:26" ht="15" customHeight="1" x14ac:dyDescent="0.3">
      <c r="A14" s="63" t="s">
        <v>134</v>
      </c>
    </row>
    <row r="15" spans="1:26" ht="15" customHeight="1" x14ac:dyDescent="0.3">
      <c r="A15" s="63"/>
    </row>
    <row r="16" spans="1:26" ht="17.25" customHeight="1" x14ac:dyDescent="0.3">
      <c r="A16" s="62" t="s">
        <v>144</v>
      </c>
    </row>
    <row r="17" spans="1:1" ht="14.4" x14ac:dyDescent="0.3">
      <c r="A17" s="64"/>
    </row>
    <row r="18" spans="1:1" ht="15" customHeight="1" x14ac:dyDescent="0.3">
      <c r="A18" s="63" t="s">
        <v>130</v>
      </c>
    </row>
    <row r="19" spans="1:1" ht="15" customHeight="1" x14ac:dyDescent="0.3">
      <c r="A19" s="63" t="s">
        <v>135</v>
      </c>
    </row>
    <row r="20" spans="1:1" ht="15" customHeight="1" x14ac:dyDescent="0.3">
      <c r="A20" s="63"/>
    </row>
    <row r="21" spans="1:1" ht="17.25" customHeight="1" x14ac:dyDescent="0.3">
      <c r="A21" s="62" t="s">
        <v>142</v>
      </c>
    </row>
    <row r="22" spans="1:1" ht="14.4" x14ac:dyDescent="0.3">
      <c r="A22" s="64"/>
    </row>
    <row r="23" spans="1:1" ht="15" customHeight="1" x14ac:dyDescent="0.3">
      <c r="A23" s="63" t="s">
        <v>140</v>
      </c>
    </row>
    <row r="24" spans="1:1" ht="15" customHeight="1" x14ac:dyDescent="0.3">
      <c r="A24" s="63" t="s">
        <v>145</v>
      </c>
    </row>
    <row r="25" spans="1:1" ht="15" customHeight="1" x14ac:dyDescent="0.3">
      <c r="A25" s="63"/>
    </row>
    <row r="26" spans="1:1" ht="17.25" customHeight="1" x14ac:dyDescent="0.3">
      <c r="A26" s="62" t="s">
        <v>133</v>
      </c>
    </row>
    <row r="27" spans="1:1" ht="14.4" x14ac:dyDescent="0.3">
      <c r="A27" s="64"/>
    </row>
    <row r="28" spans="1:1" ht="15" customHeight="1" x14ac:dyDescent="0.3">
      <c r="A28" s="63" t="s">
        <v>136</v>
      </c>
    </row>
    <row r="29" spans="1:1" ht="15" customHeight="1" x14ac:dyDescent="0.3">
      <c r="A29" s="63" t="s">
        <v>141</v>
      </c>
    </row>
    <row r="30" spans="1:1" ht="15" customHeight="1" x14ac:dyDescent="0.3">
      <c r="A30" s="63"/>
    </row>
    <row r="31" spans="1:1" ht="17.25" customHeight="1" x14ac:dyDescent="0.3">
      <c r="A31" s="62" t="s">
        <v>139</v>
      </c>
    </row>
    <row r="32" spans="1:1" ht="14.4" x14ac:dyDescent="0.3">
      <c r="A32" s="64"/>
    </row>
    <row r="33" spans="1:1" ht="15" customHeight="1" x14ac:dyDescent="0.3">
      <c r="A33" s="63" t="s">
        <v>146</v>
      </c>
    </row>
    <row r="34" spans="1:1" ht="15" customHeight="1" x14ac:dyDescent="0.3">
      <c r="A34" s="63" t="s">
        <v>148</v>
      </c>
    </row>
  </sheetData>
  <pageMargins left="0.70000004768371582" right="0.70000004768371582" top="0.75" bottom="0.75" header="0.5118110179901123" footer="0.5118110179901123"/>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emplate>Normal.dotm</Template>
  <TotalTime>0</TotalTime>
  <Application>Microsoft Excel</Application>
  <DocSecurity>0</DocSecurity>
  <ScaleCrop>false</ScaleCrop>
  <HeadingPairs>
    <vt:vector size="2" baseType="variant">
      <vt:variant>
        <vt:lpstr>Листы</vt:lpstr>
      </vt:variant>
      <vt:variant>
        <vt:i4>9</vt:i4>
      </vt:variant>
    </vt:vector>
  </HeadingPairs>
  <TitlesOfParts>
    <vt:vector size="9" baseType="lpstr">
      <vt:lpstr>Тест_в1</vt:lpstr>
      <vt:lpstr>Тест_в2</vt:lpstr>
      <vt:lpstr>Механика подсчета результатов</vt:lpstr>
      <vt:lpstr>1. Вводная часть отчета</vt:lpstr>
      <vt:lpstr>2. Харак-ка стилей</vt:lpstr>
      <vt:lpstr>3. Рекомендации по вед стилю </vt:lpstr>
      <vt:lpstr>4.Рекомендации по слаб стилю</vt:lpstr>
      <vt:lpstr>4.Прототип отчета</vt:lpstr>
      <vt:lpstr>Справка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Влад</dc:creator>
  <cp:lastModifiedBy>Владислав Внуковский</cp:lastModifiedBy>
  <dcterms:created xsi:type="dcterms:W3CDTF">2026-07-31T11:12:52Z</dcterms:created>
  <dcterms:modified xsi:type="dcterms:W3CDTF">2026-08-10T06:15:37Z</dcterms:modified>
</cp:coreProperties>
</file>