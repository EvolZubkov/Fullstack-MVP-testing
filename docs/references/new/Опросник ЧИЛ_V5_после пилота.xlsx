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ks.rt.ru\dfs\BORUP\BORUP15\Текущие проекты\Опросник ЧЦ_Таня, Лена, Катя Б., Ксюша\"/>
    </mc:Choice>
  </mc:AlternateContent>
  <bookViews>
    <workbookView xWindow="0" yWindow="0" windowWidth="28800" windowHeight="12435"/>
  </bookViews>
  <sheets>
    <sheet name="Тест_в2" sheetId="2" r:id="rId1"/>
    <sheet name="Механика подсчета результатов" sheetId="3" r:id="rId2"/>
    <sheet name="Вводная часть отчета" sheetId="4" r:id="rId3"/>
    <sheet name="Все стили и профили" sheetId="9" r:id="rId4"/>
    <sheet name="Прототип отчета" sheetId="8" r:id="rId5"/>
  </sheets>
  <externalReferences>
    <externalReference r:id="rId6"/>
  </externalReferences>
  <definedNames>
    <definedName name="_xlnm._FilterDatabase" localSheetId="3" hidden="1">'Все стили и профили'!$A$1:$B$16</definedName>
    <definedName name="_xlnm._FilterDatabase" localSheetId="0" hidden="1">Тест_в2!$A$7:$E$91</definedName>
  </definedNames>
  <calcPr calcId="162913"/>
</workbook>
</file>

<file path=xl/calcChain.xml><?xml version="1.0" encoding="utf-8"?>
<calcChain xmlns="http://schemas.openxmlformats.org/spreadsheetml/2006/main">
  <c r="B101" i="8" l="1"/>
  <c r="B14" i="8" l="1"/>
  <c r="B5" i="8"/>
  <c r="L26" i="8" l="1"/>
  <c r="K26" i="8"/>
  <c r="AK3" i="3"/>
  <c r="AQ3" i="3" l="1"/>
  <c r="AH3" i="3"/>
  <c r="AI3" i="3"/>
  <c r="AO3" i="3"/>
  <c r="AP3" i="3"/>
  <c r="AJ3" i="3"/>
  <c r="AR3" i="3"/>
  <c r="AG3" i="3"/>
  <c r="AY3" i="3" l="1"/>
  <c r="AN3" i="3"/>
  <c r="AM3" i="3"/>
  <c r="B94" i="8"/>
  <c r="AW3" i="3"/>
  <c r="AS3" i="3"/>
  <c r="B81" i="8"/>
  <c r="AU3" i="3"/>
  <c r="AL3" i="3"/>
  <c r="AD3" i="3" l="1"/>
  <c r="K3" i="3" l="1"/>
  <c r="O3" i="3" s="1"/>
  <c r="L3" i="3"/>
  <c r="M3" i="3"/>
  <c r="N3" i="3"/>
  <c r="N16" i="3" l="1"/>
  <c r="M16" i="3"/>
  <c r="L16" i="3"/>
  <c r="K16" i="3"/>
  <c r="N15" i="3"/>
  <c r="M15" i="3"/>
  <c r="L15" i="3"/>
  <c r="K15" i="3"/>
  <c r="N14" i="3"/>
  <c r="M14" i="3"/>
  <c r="L14" i="3"/>
  <c r="K14" i="3"/>
  <c r="N13" i="3"/>
  <c r="M13" i="3"/>
  <c r="L13" i="3"/>
  <c r="K13" i="3"/>
  <c r="N12" i="3"/>
  <c r="M12" i="3"/>
  <c r="L12" i="3"/>
  <c r="K12" i="3"/>
  <c r="N11" i="3"/>
  <c r="M11" i="3"/>
  <c r="L11" i="3"/>
  <c r="K11" i="3"/>
  <c r="N10" i="3"/>
  <c r="M10" i="3"/>
  <c r="L10" i="3"/>
  <c r="K10" i="3"/>
  <c r="N9" i="3"/>
  <c r="M9" i="3"/>
  <c r="L9" i="3"/>
  <c r="K9" i="3"/>
  <c r="N8" i="3"/>
  <c r="M8" i="3"/>
  <c r="L8" i="3"/>
  <c r="K8" i="3"/>
  <c r="N7" i="3"/>
  <c r="M7" i="3"/>
  <c r="L7" i="3"/>
  <c r="K7" i="3"/>
  <c r="N6" i="3"/>
  <c r="M6" i="3"/>
  <c r="L6" i="3"/>
  <c r="K6" i="3"/>
  <c r="N5" i="3"/>
  <c r="M5" i="3"/>
  <c r="L5" i="3"/>
  <c r="K5" i="3"/>
  <c r="N4" i="3"/>
  <c r="M4" i="3"/>
  <c r="L4" i="3"/>
  <c r="K4" i="3"/>
  <c r="D88" i="2"/>
  <c r="D87" i="2"/>
  <c r="D82" i="2"/>
  <c r="D81" i="2"/>
  <c r="D76" i="2"/>
  <c r="D75" i="2"/>
  <c r="D70" i="2"/>
  <c r="D69" i="2"/>
  <c r="D64" i="2"/>
  <c r="D63" i="2"/>
  <c r="D58" i="2"/>
  <c r="D57" i="2"/>
  <c r="D52" i="2"/>
  <c r="D51" i="2"/>
  <c r="D46" i="2"/>
  <c r="D45" i="2"/>
  <c r="D40" i="2"/>
  <c r="D39" i="2"/>
  <c r="D34" i="2"/>
  <c r="D33" i="2"/>
  <c r="D28" i="2"/>
  <c r="D27" i="2"/>
  <c r="D22" i="2"/>
  <c r="D21" i="2"/>
  <c r="D16" i="2"/>
  <c r="D15" i="2"/>
  <c r="D10" i="2"/>
  <c r="D9" i="2"/>
  <c r="L17" i="3" l="1"/>
  <c r="U3" i="3" s="1"/>
  <c r="M17" i="3"/>
  <c r="V3" i="3" s="1"/>
  <c r="N17" i="3"/>
  <c r="W3" i="3" s="1"/>
  <c r="O4" i="3"/>
  <c r="O5" i="3"/>
  <c r="O6" i="3"/>
  <c r="O8" i="3"/>
  <c r="O9" i="3"/>
  <c r="O10" i="3"/>
  <c r="O11" i="3"/>
  <c r="O12" i="3"/>
  <c r="O13" i="3"/>
  <c r="O14" i="3"/>
  <c r="O15" i="3"/>
  <c r="O16" i="3"/>
  <c r="O7" i="3"/>
  <c r="K17" i="3"/>
  <c r="T3" i="3" s="1"/>
  <c r="AE3" i="3" l="1"/>
  <c r="X3" i="3"/>
  <c r="Z3" i="3"/>
  <c r="AA3" i="3" s="1"/>
  <c r="AB3" i="3" s="1"/>
  <c r="O17" i="3"/>
  <c r="AC3" i="3" l="1"/>
</calcChain>
</file>

<file path=xl/sharedStrings.xml><?xml version="1.0" encoding="utf-8"?>
<sst xmlns="http://schemas.openxmlformats.org/spreadsheetml/2006/main" count="420" uniqueCount="214">
  <si>
    <t>Тест</t>
  </si>
  <si>
    <t>1.</t>
  </si>
  <si>
    <t>a</t>
  </si>
  <si>
    <t>b</t>
  </si>
  <si>
    <t>c</t>
  </si>
  <si>
    <t>d</t>
  </si>
  <si>
    <t>2.</t>
  </si>
  <si>
    <t>4.</t>
  </si>
  <si>
    <t>Как работать с тестом? 
Вам будет предложено 14 блоков. В каждом из блоков распределите 7 баллов между 4 вариантами. Каждому из вариантов можно присвоить от 0 до 7 баллов. Чем больше баллов вы присваиваете варианту, тем точнее он описывает ваше обычное поведение. Одному утверждению можно отдать все 7 баллов.</t>
  </si>
  <si>
    <t xml:space="preserve"> </t>
  </si>
  <si>
    <t>Распределите 7 баллов между 4 вариантами. Каждому из вариантов можно присвоить от 0 до 7 баллов. Чем больше баллов вы присваиваете варианту, тем точнее он описывает ваше обычное поведение. Одному утверждению можно отдать все 7 баллов.</t>
  </si>
  <si>
    <t xml:space="preserve">При заполнении пользователем ячейки с баллами, подсвечивается кол-во оставшихся баллов из 7. Если все 7 баллов использованы – всплывает сообщение «Вы использовали все баллы». </t>
  </si>
  <si>
    <t>блок 1/1 вклад в команду (что я привношу)</t>
  </si>
  <si>
    <t>для проектной команды, не выводим для пользователя</t>
  </si>
  <si>
    <t>В чем состоит ваш вклад в работу команды?</t>
  </si>
  <si>
    <t>Я задаю амбициозные цели и помогаю команде создавать результат, приносящий ценность клиенту и обществу</t>
  </si>
  <si>
    <t>Целеустремленный</t>
  </si>
  <si>
    <t>Я создаю и поддерживаю в команде атмосферу взаимопомощи, уважения и доброжелательного общения</t>
  </si>
  <si>
    <t>Командный</t>
  </si>
  <si>
    <t>Вдохновляющий</t>
  </si>
  <si>
    <t>Процессный</t>
  </si>
  <si>
    <t>блок 2\1 (мои ограничения как члена команды, теневая сторона)</t>
  </si>
  <si>
    <t>Какие у вас недостатки как у лидера?</t>
  </si>
  <si>
    <t>Я могу настаивать на соблюдении договорённостей и ясности правил, даже когда ситуация требует гибкости</t>
  </si>
  <si>
    <t>Я могу быть требовательным к срокам и результатам для клиента и компании, уделяя недостаточно внимания состоянию подчиненных</t>
  </si>
  <si>
    <t>блок 3\1 (работа с другими, стиль взаимодействия)</t>
  </si>
  <si>
    <t>В чём ваша ключевая роль, когда дело касается коммуникаций в команде и совместных задач?</t>
  </si>
  <si>
    <t>Я внимательно слушаю, поддерживаю уважительный диалог и доброжелательное общение в команде</t>
  </si>
  <si>
    <t>Я транслирую связь задач с ценностью для клиента и общества, помогая команде прийти к лучшему результату</t>
  </si>
  <si>
    <t>Я объясняю, как устроена работа в проекте, чтобы каждый понимал свою роль, договорённости и следующий шаг</t>
  </si>
  <si>
    <t>блок 4\1 (отношение к задачам, как я подхожу к работе)</t>
  </si>
  <si>
    <t>Каковы особенности вашего лидерского стиля в привычных рабочих процессах?</t>
  </si>
  <si>
    <t>Я контролирую ключевые показатели, четко слежу за достижением результата</t>
  </si>
  <si>
    <t>Я распределяю задачи, чтобы каждый чувствовал свою значимость, и поощряю взаимовыручку в команде</t>
  </si>
  <si>
    <t>блок 5\1 (личное удовлетворение, что мне нравится в работе)</t>
  </si>
  <si>
    <t>Что вдохновляет вас как лидера?</t>
  </si>
  <si>
    <t>Видеть, что в команде вежливо общаются и готовы помогать друг другу</t>
  </si>
  <si>
    <t>Замечать,  что люди раскрывают потенциал, осваивают новое и берутся за развивающие задачи</t>
  </si>
  <si>
    <t>Видеть, как отлаженная мною система работает как часы</t>
  </si>
  <si>
    <t>блок 6\1 (отношение к другим, коллаборация)</t>
  </si>
  <si>
    <t>Как вы вкладываетесь в развитие идей других коллег?</t>
  </si>
  <si>
    <t>Я продвигаю идеи коллег, создавая для них возможности развития</t>
  </si>
  <si>
    <t>Я проверяю идеи на соответствие принятым стандартам и реализуемость</t>
  </si>
  <si>
    <t>Я помогаю оценить идеи по их вкладу в прибыль\KPI и пользу для Общества</t>
  </si>
  <si>
    <t>Я создаю благоприятную атмосферу для открытого обсуждения идей в команде</t>
  </si>
  <si>
    <t>блок 7\1 (финализация, результативность)</t>
  </si>
  <si>
    <t>На чём вы делаете фокус, когда задача уже реализована?</t>
  </si>
  <si>
    <t>Анализирую качество выполнения задачи и то, какую ценность для клиента приносит результат</t>
  </si>
  <si>
    <t xml:space="preserve">Делаю ретроспективу с командой, обсуждаю, как мы вместе можем усилиться </t>
  </si>
  <si>
    <t>Провожу аудит процессов (с которыми столкнулся), чтобы сделать их оптимальными</t>
  </si>
  <si>
    <t>блок 1/2 вклад в команду (что я привношу)</t>
  </si>
  <si>
    <t>В чем проявляется ваша ценность, когда команда приступает к новой задаче?</t>
  </si>
  <si>
    <t>Помогаю участникам услышать друг друга и договориться о совместной работе</t>
  </si>
  <si>
    <t xml:space="preserve">Помогаю сотрудникам увидеть возможности для развития и поддерживаю инициативу </t>
  </si>
  <si>
    <t>Проясняю роли, договоренности и порядок совместной работы</t>
  </si>
  <si>
    <t xml:space="preserve">Процессный </t>
  </si>
  <si>
    <t>блок 2\2 (мои ограничения как члена команды, теневая сторона)</t>
  </si>
  <si>
    <t>Что окружающие прощают вам как лидеру?</t>
  </si>
  <si>
    <t>Излишнюю мягкость, так как я создаю комфортную среду для командной работы</t>
  </si>
  <si>
    <t>Эмоциональность, так как мне важно вдохновить других</t>
  </si>
  <si>
    <t>блок 3\2 (работа с другими, стиль взаимодействия)</t>
  </si>
  <si>
    <t>При возникновении конфликтов в общих задачах вы чаще?</t>
  </si>
  <si>
    <t>Проясняю предмет разногласия и корректирую процесс так, чтобы проблема не повторилась</t>
  </si>
  <si>
    <t>Возвращаю обсуждение к общей цели, фактам, потребностям клиента, чтобы быстрее двигаться дальше</t>
  </si>
  <si>
    <t>Становлюсь медиатором, чтобы помочь коллегам договориться о командной работе</t>
  </si>
  <si>
    <t>блок 4\2(отношение к задачам, как я подхожу к работе)</t>
  </si>
  <si>
    <t>Как вы обычно действуете, когда понимаете, что команда отклоняется от цели?</t>
  </si>
  <si>
    <t>Я помогаю команде сфокусироваться на главном и направляю наши усилия на то, чтобы цели были достигнуты в срок, несмотря на возникшие сложности</t>
  </si>
  <si>
    <t>Я собираю команду для открытого обсуждения проблем, чтобы снять эмоциональное напряжение и вместе обсудить возникшие трудности</t>
  </si>
  <si>
    <t>Я вдохновляю команду на поиск нестандартных решений и своим примером показываю, как преодолеть возникшие трудности</t>
  </si>
  <si>
    <t>блок 5\2 (личное удовлетворение, что мне нравится в работе)</t>
  </si>
  <si>
    <t>Что вас больше всего мотивирует в работе?</t>
  </si>
  <si>
    <t>Доброжелательный микроклимат в команде</t>
  </si>
  <si>
    <t>Рост и развитие сотрудников в команде</t>
  </si>
  <si>
    <t>блок 6\2(отношение к другим, коллаборация)</t>
  </si>
  <si>
    <t>блок 7\2(финализация, результативность)</t>
  </si>
  <si>
    <t>Что для вас наиболее важно в результатах работы вашей команды?</t>
  </si>
  <si>
    <t>Публичное признание успеха моей команды как способ поддержать их мотивацию и развитие</t>
  </si>
  <si>
    <t>Достижение сверхцелей и всех показателей, которые принесут пользу компании и коллегам</t>
  </si>
  <si>
    <t>Сплоченность и партнерство в команде, в которой не страшно говорить о недочетах</t>
  </si>
  <si>
    <t>Перемешиваем варианты ответов</t>
  </si>
  <si>
    <t>Таблица подсчета результатов</t>
  </si>
  <si>
    <t>проверка</t>
  </si>
  <si>
    <t>StyleIdx</t>
  </si>
  <si>
    <t>блоки</t>
  </si>
  <si>
    <t>A</t>
  </si>
  <si>
    <t>C</t>
  </si>
  <si>
    <t>B</t>
  </si>
  <si>
    <t>D</t>
  </si>
  <si>
    <t>А- «Целеустременный»</t>
  </si>
  <si>
    <t>В- «Вдохновлящий»</t>
  </si>
  <si>
    <t>С- «Командый»</t>
  </si>
  <si>
    <t>D- «Процессный»</t>
  </si>
  <si>
    <t>Сумма баллов по стилю</t>
  </si>
  <si>
    <t>Двухвекторный</t>
  </si>
  <si>
    <t>Широкий</t>
  </si>
  <si>
    <t>Сбалансированный</t>
  </si>
  <si>
    <t>Об отчете</t>
  </si>
  <si>
    <t>Об инструменте</t>
  </si>
  <si>
    <t>Инструмент «Тест на определение ведущего стиля человекоцентричного лидерства» помогает понять, как вы создаёте осмысленную, тёплую и результативную рабочую среду для людей в вашей команде.
Тест построен на базе:
- Модели человекоцентричного лидерства в "Ростелекоме"
- Классической двухфакторой модели руководства  Ренсиса Лайкерта ("Фокус на людей" и "Фокус на задачи")
- Теории контекстов взаимодействия в команде Рэймонда Белбина
Человекоцентричное лидерство — это подход к управлению, где в центре решений и внимания лидера всегда находится человек: сотрудник, коллега, клиент, партнёр.
Модель человекоцентричного лидерства опирается на четыре вектора: Культура, Лидер, Процессы и практики, Стратегия, и каждому вектору соответствует свой стиль лидерства.
Важно: тест не измеряет «уровень» или «индекс» человекоцентричности и не даёт оценочного вердикта. Его задача — помочь лидеру лучше понять особенности своего стиля управления и увидеть, в каких ситуациях этот стиль наиболее эффективен, а где полезно подключать другие подходы.</t>
  </si>
  <si>
    <t>🎯 Целеустремленный</t>
  </si>
  <si>
    <t>✨ Вдохновляющий</t>
  </si>
  <si>
    <t>🤝 Командный</t>
  </si>
  <si>
    <t>⚙️ Процессный</t>
  </si>
  <si>
    <t>Отчёт по тесту «Определение ведущего стиля человекоцентричного лидерства»</t>
  </si>
  <si>
    <t>Об отчёте</t>
  </si>
  <si>
    <t>Как мне повысить человекоцентричность в моей команде?</t>
  </si>
  <si>
    <t>Тип профиля</t>
  </si>
  <si>
    <t>Характеристика</t>
  </si>
  <si>
    <t>Как мне повысить человекоцентричность в моей команде? (рекомендации по развитию)</t>
  </si>
  <si>
    <t>Целеустременный</t>
  </si>
  <si>
    <t>Вхохновляющий</t>
  </si>
  <si>
    <t>Двухвекторный профиль</t>
  </si>
  <si>
    <t>Целеустремленный и Вдохновляющий</t>
  </si>
  <si>
    <t>Целеустремленный и Командный</t>
  </si>
  <si>
    <t>Целеустремленный и Процессный</t>
  </si>
  <si>
    <t>Вдохновляющий и Командный</t>
  </si>
  <si>
    <t>Вдохновляющий и Процессный</t>
  </si>
  <si>
    <t>Командный и Процессный</t>
  </si>
  <si>
    <t>Широкий профиль</t>
  </si>
  <si>
    <t>Сбалансированный профиль</t>
  </si>
  <si>
    <t>Целеустремленный, Вдохновляющий, Командный и Процессный</t>
  </si>
  <si>
    <t>Ведущие стили</t>
  </si>
  <si>
    <r>
      <t xml:space="preserve">Попробуйте расширить набор инструментов лидера: сохранить сочетание амбициозных целей и укрепление командных отношений, но усилить управляемость через развитие потенциала сотрудников и оптимизацию рабочий процессов.
</t>
    </r>
    <r>
      <rPr>
        <b/>
        <sz val="8"/>
        <rFont val="Calibri"/>
        <family val="2"/>
        <charset val="204"/>
      </rPr>
      <t>Узнайте больше о своей команде:
-</t>
    </r>
    <r>
      <rPr>
        <sz val="8"/>
        <rFont val="Calibri"/>
        <family val="2"/>
        <charset val="204"/>
      </rPr>
      <t xml:space="preserve">Узнайте, видят ли сотрудники связь между своей текущей работой и возможностью профессионального и карьерного роста. 
-Обсудите с сотрудниками, есть ли  уних индивидуальные траектории развития, помогите в их составлении
-Проанализируйте, насколько прозначны и эффективны текущие бизнес-процессы
-Уточните, есть ли узкие места, где постоянно возникают сбои из-за отсутствия стандартных процедур
-Проясните, достаточно ли в команде системных правил, которые работают без вашего участия
</t>
    </r>
    <r>
      <rPr>
        <b/>
        <sz val="8"/>
        <rFont val="Calibri"/>
        <family val="2"/>
        <charset val="204"/>
      </rPr>
      <t xml:space="preserve">Внедряйте в практику и делайте чаще:
</t>
    </r>
    <r>
      <rPr>
        <sz val="8"/>
        <rFont val="Calibri"/>
        <family val="2"/>
        <charset val="204"/>
      </rPr>
      <t xml:space="preserve">-В начале работы с новой задачей формулируйте связь с развитием-какие новые навыки могут появиться
-Проводите регулярные индивидуальные встречи, направленные на развитие, делитесь личным примером
-Отмечайте личный рост сотрудников, их инициативы
-Письменно фиксируйте ключевые договоренности
-Введите регулярные ретроспективы по разбору процессов
</t>
    </r>
    <r>
      <rPr>
        <b/>
        <sz val="8"/>
        <rFont val="Calibri"/>
        <family val="2"/>
        <charset val="204"/>
      </rPr>
      <t xml:space="preserve">Закрепите изменения и дополните свой стиль:
</t>
    </r>
    <r>
      <rPr>
        <sz val="8"/>
        <rFont val="Calibri"/>
        <family val="2"/>
        <charset val="204"/>
      </rPr>
      <t>-Перед запуском новой задачи задавайте себе вопросы: какие навыки я помогу развивать сотрудникам в этой задаче? Какие процессы я буду улучшать, чтобы в будущем выполнение подобной задачи стало более системным и предсказуемым.
- Назначьте «хранителя процессов» в команде. Если у вас нет склонности к деталям, делегируйте контроль за регламентами сотруднику, который в этом силён. 
- Развивайте культуру обратной связи о возможностях развития в команде, транслируйте вновь появляющиеся ресурсы для роста и развития карьеры в Комании.</t>
    </r>
  </si>
  <si>
    <r>
      <t xml:space="preserve">Попробуйте расширить набор инструментов лидера: сохранить фокус на процессах и индивидуальном развитии и мотивации сотрудников, но усилить управляемость через создание доброжелательной среды в команде, ориентации на результат и создании ценности для клиентов и Общества.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</t>
    </r>
    <r>
      <rPr>
        <sz val="8"/>
        <color theme="1"/>
        <rFont val="Calibri"/>
        <family val="2"/>
        <charset val="204"/>
      </rPr>
      <t xml:space="preserve">- Узнайте, понимает ли каждый сотрудник связь между своим развитием, процессами и реальной ценностью для клиента и бизнеса;
- Спросите, достаточно ли в команде ясности целей, приоритетов и измеримых результатов;
- Проясните, насколько быстро команда способна принимать решения в условиях жёстких сроков; 
- Узнайте, достаточно ли в команде уважительного общения и взаимопомощи;
- Уточните, насколько сотрудники чувствуют себя частью сплочённой команды, объединенной общей целью;
- Узнайте, достаточно ли в команде неформального общения и эмпатии.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На командных встречах и ретроспективах процессов уделяйте время обсуждению измеримых результатов и ценности для клиента
- Развивайте навыки принятия быстрых решений в условиях неопределенности;
- Создавайте пространство для открытого, неформального диалога;
- В конце встреч уделяйте немного времени, чтобы каждый мог поблагодарить коллегу за помощь, поддержку;
- Обсуждайте не только процессы и индивидуальное развитие, но и состояние команды как единого целого;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Связывайте изменения процессов с ценностью для клиента;
- Проясняйте образ результата и критерии успешности выполнения задач;
- Развивайте взаимопомощь и поддержку в команде;
- Поддерживайте эмпатичные доброжелательные коммуникации.
</t>
    </r>
  </si>
  <si>
    <r>
      <t xml:space="preserve">Попробуйте расширить набор инструментов лидера: сохранить фокус на команде и взаимоотношениях, но усилить управляемость через ясные роли, измеримые договоренности и контроль прогресса.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Спросите, понимает ли команда, какую ценность для клиента и компании создаёт их работа 
- Проверьте, зафиксированы ли договорённости о ролях, сроках и ответственности 
- Уточните, прозрачны и ясны ли для команды цели и процессы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- </t>
    </r>
    <r>
      <rPr>
        <sz val="8"/>
        <color theme="1"/>
        <rFont val="Calibri"/>
        <family val="2"/>
        <charset val="204"/>
      </rPr>
      <t xml:space="preserve">Продолжайте совершенствовать командные правила взаимодействия, например, о том, как даём обратную связь, как спорим, как просим помощи.
- На встречах больше обсуждайте, «какую ценность для клиента мы создаём».
- Фиксируйте решения письменно: кто, что, к какому сроку выполняет.
- В сложных ситуациях практикуйте не только уважительный, но и прямой разговор.
- Обозначайте личную ответственность сотрудников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
-</t>
    </r>
    <r>
      <rPr>
        <sz val="8"/>
        <color theme="1"/>
        <rFont val="Calibri"/>
        <family val="2"/>
        <charset val="204"/>
      </rPr>
      <t xml:space="preserve"> Четко формулируйте цели и контролируйте достижение результата.
- Всегда сверяйтесь: создают ли ваши решения ценность для клиента и компании.
- Упростите лишние согласования.
- Введите в свою практику содействие сотрудникам в выборе вектора развития и формировании карьерной траектории.</t>
    </r>
  </si>
  <si>
    <r>
      <t xml:space="preserve">Попробуйте расширить набор инструментов лидера: сохранить фокус на процессах и эффективности, а также создании доброжелательных уважительных коммуникаций в команде но усилить управляемость через создание амбициозные цели, приносящие ценность клиенту и Обществу и мотивацию, делегирование и развитие людей.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Спросите, достаточно ли в команде ясности целей, приоритетов и измеримых результатов;
- Выясните, видит ли команда связь своей работы с ценностью для клиента и компании;
- Проясните, насколько быстро команда способна принимать решения в условиях неопределённости и срочности;
- Узнайте, известны ли сотрудникам их возможности для роста, раскрывают ли они свой потенциал.
- Поговорите с сотрудниками, достаточно ли амбициозных задач, которые бросают вызов и вдохновляют.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При описании задач добавляйте, зачем это клиенту и бизнесу;
- При работе с задачей формулируйте образ измеримого результата;
- Продолжайте развивать навык постановки целей по Smart
- Проводите регулярные встречи, посвященные развитию;
- Давайте сотрудникам больше задач на развитие за пределами привычных им рабочих процессов.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Развивайте компетенции принятия быстрых решений в том числе в условиях неопределенности;
- Связывайте изменения процессов с ценностью для клиента;
- Поддерживайте индивидуальное развитие компетенций;
- Развивайте культуру, в которой сотрудник не боится допускать ошибку.</t>
    </r>
  </si>
  <si>
    <t>Описание ваших результатов</t>
  </si>
  <si>
    <r>
      <t xml:space="preserve">Попробуйте расширить набор инструментов лидера: сохранить фокус на драйве и энергии руководителя, его стремлении развивать команду, но усилить управляемость через цели, контрольные точки и ясные бизнес-механизмы, а также фокус на создании команды как единого целого для более долгосрочной работы.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Узнают, все ли рабочие процессы выстроены оптимально или где-то требуется их перестройка;
- Уточните, видят ли сотрудники связь между их ростом и ценностью для клиента и бизнеса;
- Проверьте, есть ли понятные договорённости о целях, сроках и критериях успеха;
- Спросите, достаточно ли текущего уровня общения в команде — норма, которую вы поддерживаете. Комфортно ли сотрудникам работать в команде?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Связывайте задачи на рост с реальной пользой для клиента и общества;
- Фиксируйте контрольные точки и критерии успеха по проектам;
- Развивайте к команде доброжелательную среду, усиливайте сплоченность;
- Регулярно проводите встречи с целью обсуждения эффективности работы текущих процессов и вовремя их оптимизируйте.
</t>
    </r>
    <r>
      <rPr>
        <b/>
        <sz val="8"/>
        <color theme="1"/>
        <rFont val="Calibri"/>
        <family val="2"/>
        <charset val="204"/>
      </rPr>
      <t xml:space="preserve">Закрепите изменения и дополните свой стиль:
</t>
    </r>
    <r>
      <rPr>
        <sz val="8"/>
        <color theme="1"/>
        <rFont val="Calibri"/>
        <family val="2"/>
        <charset val="204"/>
      </rPr>
      <t xml:space="preserve">- Ставьте четкие цели с измеримым результатом.
- Раз в квартал обсуждайте: как наш рост влияет на клиента и компанию.
- Упростите правила взаимодействия там, где неясность мешает людям расти.
- Поддерживайте уважительный и доброжелательный тон общения в команде.
- Создавайте простые удобные и эффективные рабочие процессы.
</t>
    </r>
  </si>
  <si>
    <r>
      <rPr>
        <sz val="8"/>
        <color theme="1"/>
        <rFont val="Calibri"/>
        <family val="2"/>
        <charset val="204"/>
      </rPr>
      <t xml:space="preserve">Стиль ориентирован на организацию работы. Вектор в модели человекоцентричности — Процессы и практики. Приоритеты — прозрачность, понятные договорённости, устранение барьеров, предсказуемость. Процессный лидер проявляет человекоцентричность через удобную и понятную среду работы: он выстраивает правила взаимодействия, убирает лишние препятствия и создаёт условия, в которых сотрудник может сосредоточиться на задаче. Основная цель — обеспечить максимальную эффективность через отлаженный и структурированный подход, делая акцент на том, чтобы процессы помогали людям, а не мешали им.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 Прозрачность и предсказуемость в работе;
- 	Устранение организационных барьеров;
- Оптимизация взаимодействий между людьми и подразделениями;
- 	Снижение неопределённости «как договориться и что делать».
</t>
    </r>
    <r>
      <rPr>
        <b/>
        <sz val="8"/>
        <color theme="1"/>
        <rFont val="Calibri"/>
        <family val="2"/>
        <charset val="204"/>
      </rPr>
      <t>Как стиль влияет на человекоцентричную культуру в Ростелекоме:</t>
    </r>
    <r>
      <rPr>
        <sz val="8"/>
        <color theme="1"/>
        <rFont val="Calibri"/>
        <family val="2"/>
        <charset val="204"/>
      </rPr>
      <t xml:space="preserve">
Ваш ведущий стиль формирует культуру уважения к времени и усилиям людей: меньше хаоса, больше ясности. Лидер показывает, что человекоцентричность — это не бюрократия, а продуманная и организованная среда, где каждый понимает свою роль и может эффективно работать.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  <charset val="204"/>
      </rPr>
      <t xml:space="preserve">
- Команде нужны прозрачность и предсказуемость работы;
- Масштабируется типовая работа и важен понятный, воспроизводимый способ действий;
- Необходимо упрощение процессов и чёткость ролей и зон ответственности.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 в ситуациях, если:</t>
    </r>
    <r>
      <rPr>
        <sz val="8"/>
        <color theme="1"/>
        <rFont val="Calibri"/>
        <family val="2"/>
        <charset val="204"/>
      </rPr>
      <t xml:space="preserve">
- Требуется фокус на инновации и эксперименты;
- Нужно сосредоточиться на построении доверительной атмосферы и взаимопонимания между сотрудниками;
- Команде не хватает мотивации и индивидуального подхода к развитию.
- Нужны более четкие цели, достижение результата в сжатые сроки.</t>
    </r>
  </si>
  <si>
    <r>
      <t xml:space="preserve">Попробуйте расширить набор инструментов лидера: сохранить фокус на процессах и эффективности, но усилить управляемость через создание доброжелательной и уважительной среды в команде, мотивацию, делегирование и развитие людей.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Соберите обратную связь, где процессы реально помогают, а где создают «трение»;
- Выясните, видит ли команда связь своей работы с ценностью для клиента и компании;
- Оцените, достаточно ли уважительного общения и взаимопомощи;
- Узнайте, известны ли сотрудникам их возможности для роста, раскрывают ли они свой потенциал.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При описании задач добавляйте, зачем это клиенту и бизнесу;
- Уделяйте больше времени созданию сплоченной команды;
- Поддерживайте уважительное общение в команде;
- Давайте сотрудникам задачи на развитие, помогайте им усиливать свои компетенции;
- В нестандартных ситуациях делайте пилоты и проводите эксперименты для проверки своих гипотез.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Развивайте культуру, в которой сотрудник не боится допускать ошибку;
- Фиксируйте образ результата и критерии достижения успеха;
- Развивате навыки действий в условиях неопределенности;
- Связывайте изменения процессов с ценностью для клиента;
- Развивайте взаимопомощь и поддержку в команде;
- Поддерживайте индивидуальное развитие компетенций.
</t>
    </r>
  </si>
  <si>
    <r>
      <rPr>
        <sz val="8"/>
        <color theme="1"/>
        <rFont val="Calibri"/>
        <family val="2"/>
        <charset val="204"/>
      </rPr>
      <t xml:space="preserve">Стиль ориентирован на команду и культуру взаимодействия. Вектор в модели человекоцентричности — Культура. Приоритеты — доброжелательное общение, уважительная коммуникация, культура взаимопомощи, ролевая модель корпоративной культуры. Командный лидер проявляет человекоцентричность через то, как команда общается и поддерживает друг друга: он демонстрирует уважительный диалог, тактичность и вежливость в общении, готовность помочь и быть опорой. Он — ролевая модель корпоративной культуры: показывает на своём примере, как принято общаться, договариваться и взаимодействовать в компании.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 Доброжелательная культура общения;
- Уважительная коммуникация и конструктивная обратная связь;
- Культура взаимопомощи и создание психологической безопасности;
- Ролевая модель корпоративных ценностей в ежедневном поведении.
</t>
    </r>
    <r>
      <rPr>
        <b/>
        <sz val="8"/>
        <color theme="1"/>
        <rFont val="Calibri"/>
        <family val="2"/>
        <charset val="204"/>
      </rPr>
      <t>Как стиль влияет на человекоцентричную культуру в Ростелекоме?</t>
    </r>
    <r>
      <rPr>
        <sz val="8"/>
        <color theme="1"/>
        <rFont val="Calibri"/>
        <family val="2"/>
        <charset val="204"/>
      </rPr>
      <t xml:space="preserve">
Ваш ведущий стиль задаёт «тон общения» в команде и вокруг неё: люди чувствуют, что их слышат, к ним относятся с уважением, можно просить помощи. Лидер укрепляет человекоцентричность через живое воплощение культуры Ростелекома — не через декларирование, а ежедневные взаимодействия.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  <charset val="204"/>
      </rPr>
      <t xml:space="preserve">
- Команде важен уважительный диалог, тактичность и взаимопомощь;
- Людям нужен медиатор или фасилитатор для достижения договорённостей;
- Необходимо адаптировать новых сотрудников, обеспечить комфортную среду, поддержку и «опору».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эффективен, если:</t>
    </r>
    <r>
      <rPr>
        <sz val="8"/>
        <color theme="1"/>
        <rFont val="Calibri"/>
        <family val="2"/>
        <charset val="204"/>
      </rPr>
      <t xml:space="preserve">
- Нужно быстро принять непопулярное решение;
- Требуется достижение амбициозных результатов в короткие сроки, 
- Нужно снять барьеры в процессах, оптимизировать их.
- Команде важен профессиональный вызов или внедрение инноваций.</t>
    </r>
  </si>
  <si>
    <r>
      <t xml:space="preserve">Попробуйте расширить набор инструментов лидера: оставить фокус на создании ценности для клиента и бизнеса, но укрепить команду через понимание людей, их мотивации, раскрытия потенциала, усиление эффективности процессов. Для этого:
</t>
    </r>
    <r>
      <rPr>
        <b/>
        <sz val="8"/>
        <color theme="1"/>
        <rFont val="Calibri"/>
        <family val="2"/>
        <charset val="204"/>
      </rPr>
      <t>Узнайте больше о своей команде:</t>
    </r>
    <r>
      <rPr>
        <sz val="8"/>
        <color theme="1"/>
        <rFont val="Calibri"/>
        <family val="2"/>
        <charset val="204"/>
      </rPr>
      <t xml:space="preserve">
- Проведите индивидуальные беседы: понимает ли каждый сотрудник, как его работа влияет на клиента и компанию, или видит только свои КПЭ/MBO.
- Спросите, где темп решений и многозадачность помогают, а где создают перегруз и снижают качество.
- Соберите обратную связь: достаточно ли в команде уважительного общения и взаимопомощи, а также условий для роста.
- Проанализируйте, где "размытость" ролей и лишние барьеры мешают людям достигать результата.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На командных встречах совмещайте приоритеты и решения с тем, как команда помогает друг другу;
- Давайте сотрудникам задачи на развитие и обратную связь о зонах роста;
- Упрощайте согласования и убирайте лишние шаги на пути к результату;
- Выделяйте личный вклад сотрудников в ценность для клиента;
- Помогайте строить индивидуальные траектории развития, помогайте расти. 
</t>
    </r>
    <r>
      <rPr>
        <b/>
        <sz val="8"/>
        <color theme="1"/>
        <rFont val="Calibri"/>
        <family val="2"/>
        <charset val="204"/>
      </rPr>
      <t>Закрепите изменения и дополните свой стиль:
-</t>
    </r>
    <r>
      <rPr>
        <sz val="8"/>
        <color theme="1"/>
        <rFont val="Calibri"/>
        <family val="2"/>
        <charset val="204"/>
      </rPr>
      <t xml:space="preserve"> Развивайте культуру уважительной обратной связи.
- Обсудите вместе с сотрудниками их индивидуальные траектории развития компетенций: в чём их сильные стороны, а какие навыки можно усилить.
- Регулярно пересматривайте «узкие места» процессов, которые мешают людям работать эффективно.</t>
    </r>
  </si>
  <si>
    <r>
      <t xml:space="preserve">Попробуйте расширить набор инструментов лидера: сохранить фокус на команде и взаимоотношениях, а также развитии и мотивации, но усилить управляемость через измеримые цели, фокус на создании ценности для клиентов и Общества, а также оптимизацию рабочих процессов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</t>
    </r>
    <r>
      <rPr>
        <sz val="8"/>
        <color theme="1"/>
        <rFont val="Calibri"/>
        <family val="2"/>
        <charset val="204"/>
      </rPr>
      <t>- Видят ли сотрудники связь между своими задачами и бизнес-результатами для клиентов и Общества;
- Спросите, насколько команде ясны общие цели и измеримые критерии успеха;
- Проверьте, насколько быстро команда способна принимать решения в условиях неопределённости;
- Проанализируйте прозрачность и эффективность рабочих процессов;
- Проясните четкость ролей и зон ответственности у каждого сотрудника.</t>
    </r>
    <r>
      <rPr>
        <b/>
        <sz val="8"/>
        <color theme="1"/>
        <rFont val="Calibri"/>
        <family val="2"/>
        <charset val="204"/>
      </rPr>
      <t xml:space="preserve">
</t>
    </r>
    <r>
      <rPr>
        <sz val="8"/>
        <color theme="1"/>
        <rFont val="Calibri"/>
        <family val="2"/>
        <charset val="204"/>
      </rPr>
      <t xml:space="preserve">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</t>
    </r>
    <r>
      <rPr>
        <sz val="8"/>
        <color theme="1"/>
        <rFont val="Calibri"/>
        <family val="2"/>
        <charset val="204"/>
      </rPr>
      <t xml:space="preserve">- При поставновке задачи не упускайте формулирование измеримого результата, какую ценность для клиента и Общества принесет результат;
- Фиксируйте цели и KPI по проектам, а также ключевые договоренности письменно;
- Вы можете оставаться тактичным и доброжелательным, но при этом чётко обозначать ожидания по срокам и качеству;
- Определите роли и зоны ответственности сотрудников в ключевых процессах;
- Составьте с командой карту "узких" мест- что препятствуют достижению качественных результатов, оптимизируйте эти процессы.
</t>
    </r>
    <r>
      <rPr>
        <b/>
        <sz val="8"/>
        <color theme="1"/>
        <rFont val="Calibri"/>
        <family val="2"/>
        <charset val="204"/>
      </rPr>
      <t xml:space="preserve">Скорректируйте/ Закрепите изменения и дополните свой стиль:
</t>
    </r>
    <r>
      <rPr>
        <sz val="8"/>
        <color theme="1"/>
        <rFont val="Calibri"/>
        <family val="2"/>
        <charset val="204"/>
      </rPr>
      <t xml:space="preserve">-Перед запуском новой задачи отвечайте себе на вопросы: Как я обеспечу измеримый результат и ценность для клиента в этой задаче? Какие процессы, промежуточные точки контроля я зафиксирую?
- Закрепите норму: «Все задачи мы доводим до результата»;
- Сверяйтесь: создают ли ваши решения ценность для клиента и компании;
- Упростите или измените процессы, которые уже устарели и перестали быть эффективными.
</t>
    </r>
  </si>
  <si>
    <r>
      <t xml:space="preserve">Попробуйте расширить набор инструментов лидера: сохранить фокус результатах, создании ценности для клиентов и Общества, а также на процессах и эффективности, но усилить управляемость через создание доброжелательной и уважительной среды в команде, мотивацию и развитие людей. Для этого:
</t>
    </r>
    <r>
      <rPr>
        <b/>
        <sz val="8"/>
        <color theme="1"/>
        <rFont val="Calibri"/>
        <family val="2"/>
        <charset val="204"/>
      </rPr>
      <t>Узнайте больше о своей команде:
-</t>
    </r>
    <r>
      <rPr>
        <sz val="8"/>
        <color theme="1"/>
        <rFont val="Calibri"/>
        <family val="2"/>
        <charset val="204"/>
      </rPr>
      <t xml:space="preserve">Соберите обратную связь, достаточно ли в команде уважительного общения, взаимопомощи и доверия;
-Узнайте, известны ли сотрудникам их возможности для роста, раскрывают ли они свой потенциал;
-Проясните, чувствуют ли себя сотрудники частью команды;
- Обсудите с сотрудниками, видят ли они связь между текущими задачами и возможностями для развития новых навыков.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</t>
    </r>
    <r>
      <rPr>
        <sz val="8"/>
        <color theme="1"/>
        <rFont val="Calibri"/>
        <family val="2"/>
        <charset val="204"/>
      </rPr>
      <t>- Создавайте пространство для открытого диалога;
- В конце встреч выделяйте немного времени, чтобы каждый мог поблагодарить коллегу за помощь;
- Чаще обсуждайте состояние и атмосферу в команде;
- Развивайте культуру уважительной обратной связи;
- В сложных ситуациях практикуйте не только четкие, но и эмпатичные разговоры;
- Регулярно проводите индивидуальные встречи, посвященные развитию сотрудников;
- Делитесь личным примером развития.</t>
    </r>
    <r>
      <rPr>
        <b/>
        <sz val="8"/>
        <color theme="1"/>
        <rFont val="Calibri"/>
        <family val="2"/>
        <charset val="204"/>
      </rPr>
      <t xml:space="preserve">
</t>
    </r>
    <r>
      <rPr>
        <sz val="8"/>
        <color theme="1"/>
        <rFont val="Calibri"/>
        <family val="2"/>
        <charset val="204"/>
      </rPr>
      <t xml:space="preserve">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Развивайте культуру, в которой сотрудник не боится допускать ошибку;
- Развивайте взаимопомощь и поддержку в команде, уделяйте больше внимания вопросам сплоченности;
- Поддерживайте индивидуальное развитие компетенций.
</t>
    </r>
  </si>
  <si>
    <r>
      <t xml:space="preserve">Попробуйте расширить набор инструментов лидера: сохранить фокус на команде, развитии и организации процессов, но усилить управляемость через ясные цели, измеримые результаты и эффективные действия в условиях неопределенности.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Спросите, понимает ли команда, какую ценность для клиента и компании создаёт их работа;
- Проясните, понятны ли общие цели и образ результата, ответьте на вопросы сотрудников;
- Узнайте, достаточно ли ясности приоритетов, сроков и измеримых критериев успеха;
- Проверьте, насколько быстро команда способна принимать решения в условиях жёстких сроков и неопределённости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На встречах больше обсуждайте, «какую ценность для клиента мы создаём»;
- Фиксируйте решения письменно: кто, что, к какому сроку выполняет;
- В сложных ситуациях практикуйте не только уважительный, но и прямой разговор;
- В ситуациях жёстких сроков старайтесь не затягивать принятие решений.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
-</t>
    </r>
    <r>
      <rPr>
        <sz val="8"/>
        <color theme="1"/>
        <rFont val="Calibri"/>
        <family val="2"/>
        <charset val="204"/>
      </rPr>
      <t xml:space="preserve"> Четко формулируйте цели и контролируйте достижение результата;
- Всегда сверяйтесь: создают ли ваши решения ценность для клиента и компании;
- Развивайте навыки управления командой в кризисных ситуациях и условиях неопределенности.</t>
    </r>
  </si>
  <si>
    <r>
      <t xml:space="preserve">Попробуйте расширить набор инструментов лидера: сохранить фокус на команде и взаимоотношениях, измеримых целях и развитии сотрудников, но усилить управляемость через ясные роли, прозрачные договоренности и оптимизацию рабочих процессов. Для этого:
</t>
    </r>
    <r>
      <rPr>
        <b/>
        <sz val="8"/>
        <color theme="1"/>
        <rFont val="Calibri"/>
        <family val="2"/>
        <charset val="204"/>
      </rPr>
      <t>Узнайте больше о своей команде:</t>
    </r>
    <r>
      <rPr>
        <sz val="8"/>
        <color theme="1"/>
        <rFont val="Calibri"/>
        <family val="2"/>
        <charset val="204"/>
      </rPr>
      <t xml:space="preserve">
- Проверьте, зафиксированы ли договорённости о ролях  и ответственности;
- Проанализируйте, насколько прозрачны и эффективны текущие бизнес-процессы;
- Спросите, достаточно ли в команде системных правил, которые работали бы во время вашего отсутствия;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- </t>
    </r>
    <r>
      <rPr>
        <sz val="8"/>
        <color theme="1"/>
        <rFont val="Calibri"/>
        <family val="2"/>
        <charset val="204"/>
      </rPr>
      <t>Фиксируйте ключевые договорённости письменно;
- Определите роли и зоны ответственности в процессах;
- Составьте карту "узких" мест и оптимизируйте их;
- Внедрите регулярные «ретроспективы процессов»</t>
    </r>
    <r>
      <rPr>
        <b/>
        <sz val="8"/>
        <color theme="1"/>
        <rFont val="Calibri"/>
        <family val="2"/>
        <charset val="204"/>
      </rPr>
      <t xml:space="preserve">
</t>
    </r>
    <r>
      <rPr>
        <sz val="8"/>
        <color theme="1"/>
        <rFont val="Calibri"/>
        <family val="2"/>
        <charset val="204"/>
      </rPr>
      <t xml:space="preserve">
</t>
    </r>
    <r>
      <rPr>
        <b/>
        <sz val="8"/>
        <color theme="1"/>
        <rFont val="Calibri"/>
        <family val="2"/>
        <charset val="204"/>
      </rPr>
      <t xml:space="preserve">Скорректируйте/ Закрепите изменения и дополните свой стиль:
</t>
    </r>
    <r>
      <rPr>
        <sz val="8"/>
        <color theme="1"/>
        <rFont val="Calibri"/>
        <family val="2"/>
        <charset val="204"/>
      </rPr>
      <t>- Упростите правила взаимодействия чёткими договорённостями зон ответственности, ролей, сроков выполнения задач.
- Если вы не склонны к поддержанию процессов и работе по четким правилам, развивайте эту роль у сотрудников, делегируйте;
- Периодически обсуждайте с командой: как наши процессы помогают или мешают достигать целей, развиваться и поддерживать друг друга.</t>
    </r>
  </si>
  <si>
    <r>
      <t xml:space="preserve">Попробуйте расширить набор инструментов лидера: сохранить фокус на результатах, эффективности процессов, отношениях и культуре, но усилить управляемость через мотивацию и развитие сотрудников.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- </t>
    </r>
    <r>
      <rPr>
        <sz val="8"/>
        <color theme="1"/>
        <rFont val="Calibri"/>
        <family val="2"/>
        <charset val="204"/>
      </rPr>
      <t xml:space="preserve">Узнайте, видят ли сотрудники связь между своей работой и возможностью профессионального и личностного роста;
- Узнайте, известны ли сотрудникам их возможности для роста, раскрывают ли они свой потенциал;
- Спросите, достаточно ли развивающих задач, которые бросают вызов;
- Проверьте, есть ли у сотрудников индивидуальные траектории развития.
</t>
    </r>
    <r>
      <rPr>
        <b/>
        <sz val="8"/>
        <color theme="1"/>
        <rFont val="Calibri"/>
        <family val="2"/>
        <charset val="204"/>
      </rPr>
      <t>Внедряйте в практику и делайте чаще:</t>
    </r>
    <r>
      <rPr>
        <sz val="8"/>
        <color theme="1"/>
        <rFont val="Calibri"/>
        <family val="2"/>
        <charset val="204"/>
      </rPr>
      <t xml:space="preserve">
- Давайте сотрудникам задачи на развитие, помогайте им усиливать свои компетенции;
- В нестандартных ситуациях делайте пилоты и проводите эксперименты для проверки своих гипотез;
- Чаще проводите встречи, посвященные развитию, обмен опытом;
- Отмечайте личный рост сотрудников, освоение новых навыков;
- Подбирайте инструменты индидуальной мотивации. Для это проводите мотивационные встречи;
- Вдохновляйте на развитие своим примеров регулярного обучения.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Развивайте культуру, в которой есть место эксперименту;
- Составляйте вместе с сотрудниками их индивидуальные траектории развития компетенций: в чём их сильные стороны, а какие навыки можно усилить;
- Вдохновляйте личным примером;
- Исследуйте факторы мотивации, значимые для сотрудников вашей команды и мотивируйте.
</t>
    </r>
  </si>
  <si>
    <r>
      <t xml:space="preserve">Попробуйте расширить набор инструментов лидера: сохранить фокус на результатах, процессах и развитии людей, но усилить управляемость через создание доброжелательной и уважительной среды в команде. Для этого: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</t>
    </r>
    <r>
      <rPr>
        <sz val="8"/>
        <color theme="1"/>
        <rFont val="Calibri"/>
        <family val="2"/>
        <charset val="204"/>
      </rPr>
      <t xml:space="preserve">- Узнайте, достаточно ли в команде уважительного общения и взаимопомощи;
- Спросите, есть ли в команде невысказанные конфликты или напряжение;
- Проверьте, насколько сотрудники чувствуют себя частью сплочённой команды;
- Уточните, достаточно ли в команде неформального общения, эмпатии.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</t>
    </r>
    <r>
      <rPr>
        <sz val="8"/>
        <color theme="1"/>
        <rFont val="Calibri"/>
        <family val="2"/>
        <charset val="204"/>
      </rPr>
      <t xml:space="preserve">- Создавайте пространство для открытого, неформального диалога;
- В конце встреч уделяйте немного времени, чтобы каждый мог поблагодарить коллегу за помощь, поддержку;
- Чаще обсуждайте состояние команды;
- Развивайте культуру уважительной и поддерживающей обратной связи;
- В сложных ситуациях практикуйте не только чёткий, системный и развивающий, но и эмпатичный разговор.
- Уделяйте больше времени созданию сплочённой команды и культуры взаимопомощи.
</t>
    </r>
    <r>
      <rPr>
        <b/>
        <sz val="8"/>
        <color theme="1"/>
        <rFont val="Calibri"/>
        <family val="2"/>
        <charset val="204"/>
      </rPr>
      <t>Скорректируйте/ 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
- Развивайте взаимопомощь и поддержку в команде;
- Введите правило- обращаться за поомщью, это не слабость, а сила команды;
- Организуйте встречи, где сотрудники могут поделиться состоянием и получить обратную связь не только по рабочим задачам, а личную.
- Связывайте командное взаимодействие с ценностью для клиента и результатом.
</t>
    </r>
  </si>
  <si>
    <t xml:space="preserve">А- целеустремленный
B- вдохновляющий
C- командный
D- процессный
</t>
  </si>
  <si>
    <t>Название</t>
  </si>
  <si>
    <t>Ведущие стили (по наибольшему по сравнению с другими количеству баллов)</t>
  </si>
  <si>
    <t>Целеустремленный, Вдохновляющий, Командный</t>
  </si>
  <si>
    <t>Целеустремленный, Вдохновляющий, Процессный</t>
  </si>
  <si>
    <t>Целеустремленный, Командный, Процессный</t>
  </si>
  <si>
    <t>Вдохновляющий, Командный, Процессный</t>
  </si>
  <si>
    <t>Целеустремленный, Вдохновляющий, Командный, Процессный</t>
  </si>
  <si>
    <r>
      <rPr>
        <sz val="8"/>
        <color theme="1"/>
        <rFont val="Calibri"/>
        <family val="2"/>
        <charset val="204"/>
      </rPr>
      <t xml:space="preserve">Стиль ориентирован на развитие людей. Вектор в модели человекоцентричности — Лидер. Приоритеты — раскрытие потенциала, создание условий для роста, возможности для профессионального и личностного развития. Вдохновляющий лидер проявляет человекоцентричность через развитие и мотивацию других: он видит потенциал сотрудников, создаёт условия для обучения и роста, даёт амбициозные задачи и поддерживает траекторию развития.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 Создание условий для раскрытия потенциала сотрудников;
- Возможности для роста и обучения;
- Мотивация через личный пример развития;
- Формирование амбициозного видения «кем мы можем стать».
</t>
    </r>
    <r>
      <rPr>
        <b/>
        <sz val="8"/>
        <color theme="1"/>
        <rFont val="Calibri"/>
        <family val="2"/>
        <charset val="204"/>
      </rPr>
      <t xml:space="preserve">Как стиль влияет на человекоцентричную культуру в Ростелекоме?
</t>
    </r>
    <r>
      <rPr>
        <sz val="8"/>
        <color theme="1"/>
        <rFont val="Calibri"/>
        <family val="2"/>
        <charset val="204"/>
      </rPr>
      <t xml:space="preserve">Ваш ведущий стиль укрепляет культуру непрерывного развития и веры в потенциал людей. Лидер показывает, что Ростелеком инвестирует в человека: даёт задачи для роста, обратную связь, наставничество. Вдохновляющий стиль наполняет работу команды пониманием своих возможностей для профессионального и карьерного роста.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эффективен, если:</t>
    </r>
    <r>
      <rPr>
        <sz val="8"/>
        <color theme="1"/>
        <rFont val="Calibri"/>
        <family val="2"/>
        <charset val="204"/>
      </rPr>
      <t xml:space="preserve">
- Сотрудникам нужны задачи для роста, обратная связь и условия для раскрытия потенциала;
- Важен личный пример лидера и амбициозное видение;
- Формируется новая команда и нужно заложить культуру наставничества и развития;
- Необходимо создать пространство для обучения, освоения новых компетенций для профессионального/карьерного роста.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эффективен, если:</t>
    </r>
    <r>
      <rPr>
        <sz val="8"/>
        <color theme="1"/>
        <rFont val="Calibri"/>
        <family val="2"/>
        <charset val="204"/>
      </rPr>
      <t xml:space="preserve">
- Стоят жёсткие сроки и есть необходимость чёткого операционного контроля;
- Нужны прозрачные договорённости, роли и предсказуемость бизнес-процессов;
- Нужны системные правила и фокус на оптимизацию процессов.
- Нужно сосредоточиться на построении доверительной атмосферы и взаимопонимания между сотрудниками;</t>
    </r>
  </si>
  <si>
    <t>Ключ для проектной команды</t>
  </si>
  <si>
    <r>
      <t xml:space="preserve">Ваш стиль человекоцентричности сбалансированный. Это означает, что все стили проявлены равномерно, отсутствуют ключевые зоны роста. Однако,  чтобы усилить ваш стиль, попробуйте выстроить стратегию развития в двух направлениях (продолжать капитализировать сильные стороны):
- Углубление осознанности — чтобы вы могли ещё точнее выбирать нужный стиль под конкретную ситуацию.
- Усиление гибкости и «переключения» — чтобы вы могли быть ещё более эффективным, используя сильные стороны каждого стиля осознанно и вовремя.
</t>
    </r>
    <r>
      <rPr>
        <b/>
        <sz val="8"/>
        <color theme="1"/>
        <rFont val="Calibri"/>
        <family val="2"/>
        <charset val="204"/>
      </rPr>
      <t xml:space="preserve">Узнайте больше о своей команде:
</t>
    </r>
    <r>
      <rPr>
        <b/>
        <i/>
        <sz val="8"/>
        <color theme="1"/>
        <rFont val="Calibri"/>
        <family val="2"/>
        <charset val="204"/>
      </rPr>
      <t>Чтобы понять, какие стили требуют большего внимания в текущей ситуации, соберите обратную связь по всем четырём стилям:
-</t>
    </r>
    <r>
      <rPr>
        <sz val="8"/>
        <color theme="1"/>
        <rFont val="Calibri"/>
        <family val="2"/>
        <charset val="204"/>
      </rPr>
      <t xml:space="preserve">Есть ли чёткое понимание приоритетов, сроков и измеримых результатов;
- Достаточно ли в команде уважительного общения и взаимопомощи;
- Видят ли сотрудники возможности для роста, получают ли они достаточно развивающих задач, бросающих им вызов;
- Есть ли «узкие места» или лишние барьеры, которые мешают эффективно работать?
</t>
    </r>
    <r>
      <rPr>
        <b/>
        <sz val="8"/>
        <color theme="1"/>
        <rFont val="Calibri"/>
        <family val="2"/>
        <charset val="204"/>
      </rPr>
      <t xml:space="preserve">Внедряйте в практику и делайте чаще:
</t>
    </r>
    <r>
      <rPr>
        <b/>
        <i/>
        <sz val="8"/>
        <color theme="1"/>
        <rFont val="Calibri"/>
        <family val="2"/>
        <charset val="204"/>
      </rPr>
      <t xml:space="preserve">Рекомендуем развивать осознанное переключение между стилями и глубину в каждом из них, когда это необходимо.
</t>
    </r>
    <r>
      <rPr>
        <sz val="8"/>
        <color theme="1"/>
        <rFont val="Calibri"/>
        <family val="2"/>
        <charset val="204"/>
      </rPr>
      <t xml:space="preserve">- Перед важной встречей, проектом или решением задавайте себе вопрос: «Какой стиль сейчас нужен в первую очередь?» 
- В начале работы с задачей определите, какой аспект сейчас в приоритете. Например:
- Если горят сроки, нужны быстрые решения и четкие KPI, применяйте Целеустремленный стиль;
- Если в команде нужно выстроить уважительный диалог, восстановить доверие, применяйте Командный стиль;
- Если люди потеряли мотивацию, требуется выстроить индивидуальные треки развития — применяйте Вдохновляющий стиль;
- Если нужно оптимизировать рабочие процессы и создать порядок — применяйте Процессный стиль.
- В ситуациях, когда сложно сохранять баланс, делайте оправданный выбор в пользу одного стиля, например, когда нужно быстро принять сложное кадровое решение (в ущерб командному стилю), ради достижения результата (в пользу целеустремленного стиля).
</t>
    </r>
    <r>
      <rPr>
        <b/>
        <sz val="8"/>
        <color theme="1"/>
        <rFont val="Calibri"/>
        <family val="2"/>
        <charset val="204"/>
      </rPr>
      <t>Закрепите изменения и дополните свой стиль:</t>
    </r>
    <r>
      <rPr>
        <sz val="8"/>
        <color theme="1"/>
        <rFont val="Calibri"/>
        <family val="2"/>
        <charset val="204"/>
      </rPr>
      <t xml:space="preserve">.
</t>
    </r>
    <r>
      <rPr>
        <b/>
        <i/>
        <sz val="8"/>
        <color theme="1"/>
        <rFont val="Calibri"/>
        <family val="2"/>
        <charset val="204"/>
      </rPr>
      <t>Продолжайте укреплять свои сильные стороны-</t>
    </r>
    <r>
      <rPr>
        <sz val="8"/>
        <color theme="1"/>
        <rFont val="Calibri"/>
        <family val="2"/>
        <charset val="204"/>
      </rPr>
      <t xml:space="preserve">
- Делайте связку: как текущие задачи способствуют созданию ценности для клиентов и Общества;
- Упростите правила взаимодействия чёткими договорённостями зон ответственности, ролей, сроков выполнения задач;
- Поддерживайте уважительный и доброжелательный тон общения в команде;
- Оптимизируйте рабочие процессы, делая их более прозрачными и простыми;
- Связывайте развитие людей с реальными бизнес-задачами и пользой для клиента;
- Регулярно сверяйтесь, какой стиль сейчас нужен — и осознанно переключайтесь.</t>
    </r>
  </si>
  <si>
    <t>Изменения после пилота:
1.если сбалансированный - ознакомьтесь с полным описанием ведущим стилей или не выводим этот раздел?
2.если двухвекторный или широкий- ознакомьтесь с другими стилям (выводим 2 оставшихся или 1 оставшийся в зависимости от результатов)
3.если результат с ведущий стилем- выводим 3 стиля, менее характерных для участника- ознакомьтесь с другими стилями
Стили выводятся по убыванию.</t>
  </si>
  <si>
    <t>Вдохновляющий,  Командный, Процессный</t>
  </si>
  <si>
    <t>Целеустремленный,  Вдохновляющий, Процессный</t>
  </si>
  <si>
    <t>Δ</t>
  </si>
  <si>
    <t>Максимум</t>
  </si>
  <si>
    <t>В верхней зоне</t>
  </si>
  <si>
    <t>Код профиля</t>
  </si>
  <si>
    <t>Ведущие векторы по убыванию балла</t>
  </si>
  <si>
    <t>Проверка суммы</t>
  </si>
  <si>
    <t>Логика</t>
  </si>
  <si>
    <t>Ключ Ц</t>
  </si>
  <si>
    <t>Ключ В</t>
  </si>
  <si>
    <t>Ключ К</t>
  </si>
  <si>
    <t>Ключ П</t>
  </si>
  <si>
    <t>1-й вектор</t>
  </si>
  <si>
    <t>2-й вектор</t>
  </si>
  <si>
    <t>3-й вектор</t>
  </si>
  <si>
    <t>4-й вектор</t>
  </si>
  <si>
    <t>Сравниваем каждый вектор с максимумом. Если разница ≤ Δ, вектор входит в верхнюю зону. 1 вектор = сфокусированный; 2 = двухвекторный; 3 = широкий; 4 = сбалансированный.</t>
  </si>
  <si>
    <t>Сфокусированный</t>
  </si>
  <si>
    <t>Типы профилей 
Общий подход: Берём максимум и считаем, сколько векторов находятся от него на расстоянии ≤5.
1 вектор (он сам)→ сфокусированный,
2  вектора → двухвекторный,
3 вектора → широкий,
4 вектора → сбалансированный.</t>
  </si>
  <si>
    <t>3.</t>
  </si>
  <si>
    <t>Механика выведения результатов</t>
  </si>
  <si>
    <t>С создания благоприятной командной атмосферы и взаимодействии</t>
  </si>
  <si>
    <t>С мотивации и вдохновения коллег</t>
  </si>
  <si>
    <t>С создания структуры и порядка в групповой работе</t>
  </si>
  <si>
    <t>С анализа проблемы клиента/заказчика и формулирования образа результата</t>
  </si>
  <si>
    <t>Я могу больше фокусироваться на атмосфере в команде и откладывать жесткие, но необходимые кадровые решения</t>
  </si>
  <si>
    <t>Я могу много времени уделять развитию людей и вдохновению, и ослаблять контроль за результатами</t>
  </si>
  <si>
    <t>Я показываю команде, как выполнение текущей задачи развивает их компетенции и открывает новые возможности</t>
  </si>
  <si>
    <t>Я систематизирую задачи и выстраиваю четкие алгоритмы, чтобы команда работала по прозрачным процессам</t>
  </si>
  <si>
    <t>Видеть, как моя команда достигает амбициозных целей, которые приносят реальную пользу клиентам и заказчикам</t>
  </si>
  <si>
    <t>Обсуждаю с командой достигнутые результаты, мотивируя и вдохновляя на новые достижения</t>
  </si>
  <si>
    <t>Принципиальность в следовании правилам, так как я обеспечиваю прозрачную и предсказуемую среду для команды</t>
  </si>
  <si>
    <t>Порядок и предсказуемость в рабочих процессах</t>
  </si>
  <si>
    <t>С чего вы начнете обсуждение идеи на рабочей встрече с коллегами, с которыми ранее не взаимодействовали?</t>
  </si>
  <si>
    <t>Создание понятного способа работы, который можно тиражировать в похожих задачах</t>
  </si>
  <si>
    <r>
      <t xml:space="preserve">Готово! Мы всё посчитали, ваш результат ниже.
Отчёт отображает результаты самодиагностики, полученные при прохождении теста. </t>
    </r>
    <r>
      <rPr>
        <sz val="11"/>
        <color theme="1"/>
        <rFont val="Calibri"/>
        <family val="2"/>
        <charset val="204"/>
      </rPr>
      <t xml:space="preserve">
Ваш отчёт состоит из нескольких блоков:
- Введение
- Результаты
- Характеристика других стилей
- Рекомендации по развитию вашего стиля человекоцентричного лидерства</t>
    </r>
  </si>
  <si>
    <t>Рекомендации по заполнению: 
Следите за подсказками, они помогут верно распределить баллы. Если какой-то из блоков будет пропущен или превышено\не хватает баллов по блоку, система предложит к нему вернуться. В конце теста вы получите отчёт, в котором будет информация о вашем ведущем стиле человекоцентричного лидерства, его особенностях, и рекомендации, как повысить человекоцентричность в вашей команде . Также в отчёте вы сможете познакомиться с другими стилями.
Обратите внимание, в тесте нет правильных или неправильных вариантов. Постарайтесь отвечать открыто и честно, не раздумывая долго. Тест не ограничен по времени.</t>
  </si>
  <si>
    <t>Жесткость в некоторых ситуациях, так как я сосредоточен на создании ценности для заказчиков и клиентов</t>
  </si>
  <si>
    <t>Помогаю команде увидеть в разногласиях точку для роста и поиска новых решений</t>
  </si>
  <si>
    <t>Я ищу "узкие места", которые привели к ошибке, чтобы устранить их и избежать их повторения</t>
  </si>
  <si>
    <r>
      <t>Тест помогает определить ваш стиль человекоцентричного лидерства — то, как вы создаёте осмысленную, тёплую и результативную рабочую среду для команды. Каждый лидер реализует её по‑своему — через один из четырёх стилей</t>
    </r>
    <r>
      <rPr>
        <sz val="11"/>
        <rFont val="Calibri"/>
        <family val="2"/>
      </rPr>
      <t>, которые опираются на векторы модели: Культура, Лидер, Процессы и практики, Стратегия.
Тест расскажет больше о вашем ведущем стиле человекоцентричного лидерства и его особенностях.
Опросник не направлен на оценку уровня\индекса человекоцентричности и не оценивает качество вашего лидерства.
Тест поможет:
- Узнать, какой стиль человекоцентричного лидерства вам ближе и как он проявляется в вашей работе.
- Понять, в каких ситуациях ваш стиль наиболее эффективен, а где стоит использовать другие подходы.
- Получить рекомендации по развитию вашего стиля, чтобы усилить влияние на команду и компанию.
По итогам теста вы получите персонализированный отчёт.
Почему результатам можно верить?
Тест разработан командой сертифицированных асессоров "Ростелекома" на базе:
- Модели человекоцентричного лидерства в "Ростелекоме"
- Классической двухфакторой модели руководства  Ренсиса Лайкерта ("Фокус на людей" и "Фокус на задачи")
- Теории контекстов взаимодействия в команде Рэймонда Белбина</t>
    </r>
  </si>
  <si>
    <r>
      <t xml:space="preserve">Стиль ориентирован на результат и создание ценности для клиентов. В модели человекоцентричности ему соответствует вектор «Стратегия». Приоритеты лидера — цели, достижения, своевременные решения, ценность для клиента и общества, Целеустремлённый лидер проявляет человекоцентричность через ясность целей, фокуса в работе и достижение результата, который приносит пользу клиенту и компании. Такой лидер фокусируется на показателях, контроле выполнения задач и достижении оговорённого результата. 
</t>
    </r>
    <r>
      <rPr>
        <b/>
        <sz val="8"/>
        <color theme="1"/>
        <rFont val="Calibri"/>
        <family val="2"/>
        <charset val="204"/>
      </rPr>
      <t>Сильные стороны</t>
    </r>
    <r>
      <rPr>
        <sz val="8"/>
        <color theme="1"/>
        <rFont val="Calibri"/>
        <family val="2"/>
      </rPr>
      <t xml:space="preserve">
- Ориентация на ценность для клиента и общества;
- Быстрые и качественные решения в условиях неопределённости;
- Умение удерживать фокус и выделять приоритеты;
- Ясность целей и измеримый результат.
</t>
    </r>
    <r>
      <rPr>
        <b/>
        <sz val="8"/>
        <color theme="1"/>
        <rFont val="Calibri"/>
        <family val="2"/>
        <charset val="204"/>
      </rPr>
      <t xml:space="preserve">
Как стиль влияет на человекоцентричную культуру в Ростелекоме?</t>
    </r>
    <r>
      <rPr>
        <sz val="8"/>
        <color theme="1"/>
        <rFont val="Calibri"/>
        <family val="2"/>
      </rPr>
      <t xml:space="preserve">
Ваш ведущий стиль формирует культуру ответственности за результат и осмысленной работы «не ради цифры, а ради пользы». Лидер показывает связь задач команды с ценностью для клиента и бизнеса, даёт ясные ориентиры, понятные показатели, чёткие планы и синхронизирует работу команды с тем, какую пользу она приносит компании и клиентам.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</rPr>
      <t xml:space="preserve">
- Нужно быстро принять решение и сфокусировать команду на приоритетах в условиях неопределённости;
- Команде важно понять, как её работа создаёт ценность для клиента и бизнеса, в том числе в долгосрочной перспективе;
- В команде много задач и проектов и нужна ясность целей, сроков и измеримого результата;
- Возник риск нарушения сроков и нужно оперативно перераспределить нагрузку, сохраняя качество решений.
</t>
    </r>
    <r>
      <rPr>
        <b/>
        <sz val="8"/>
        <color theme="1"/>
        <rFont val="Calibri"/>
        <family val="2"/>
        <charset val="204"/>
      </rPr>
      <t xml:space="preserve">
Ваш стиль человекоцентричности менее эффективен, если:</t>
    </r>
    <r>
      <rPr>
        <sz val="8"/>
        <color theme="1"/>
        <rFont val="Calibri"/>
        <family val="2"/>
      </rPr>
      <t xml:space="preserve">
- Важно сфокусироваться на построении отношений и взаимопонимания внутри команды;
- Требуется пересмотреть и упростить бизнес-процессы;
- Команде нужно выделить время и ресурс на индивидуальные траектории развития компетенций.</t>
    </r>
  </si>
  <si>
    <t>Я создаю условия для развития и раскрытия потенциала сотрудников, мотивирую сотрудников</t>
  </si>
  <si>
    <t>Я выстраиваю понятные и прозрачные процессы для работы, фиксирую ключевые договоренности</t>
  </si>
  <si>
    <t>Я задаю пример стремления к развитию и создаю условия для освоения новых компетенций другими</t>
  </si>
  <si>
    <t>Я помогаю прояснить образ результата в задаче и какую ценность для клиентов принесет результат</t>
  </si>
  <si>
    <t>Достижение амбициозных результатов, превышающих ожидания клиентов и Компании</t>
  </si>
  <si>
    <t>Если 1 стиль "Ваш ведущий стиль…"
Если 2 стиля "У вас наиболее выражены два стиля:…"
Если 3 стиля "Увас наиболее выражены три стиля"
Если 4 стиля "Ваш профиль сбалансирован и сочетает 4 стиля:…"</t>
  </si>
  <si>
    <r>
      <rPr>
        <sz val="8"/>
        <color theme="1"/>
        <rFont val="Calibri"/>
        <family val="2"/>
        <charset val="204"/>
      </rPr>
      <t xml:space="preserve">Сочетание данных стилей объединяет фокус на развитие людей, раскрытие их потенциала, мотивацию (вдохновляющий стиль) и организацию работы, создание прозрачности в рабочих процессах (процессный стиль). В модели человекоцентричности- это два вектора: «Лидер» и «Процессы и практики». Приоритеты лидера — создание условий, в которых люди могут расти и развиваться, опираясь на понятные, четкие и эффективные процессы. Руководитель строит систему, в которой развитие становится предсказуемым и встроенным в повседневную работу. 
</t>
    </r>
    <r>
      <rPr>
        <b/>
        <sz val="8"/>
        <color theme="1"/>
        <rFont val="Calibri"/>
        <family val="2"/>
        <charset val="204"/>
      </rPr>
      <t xml:space="preserve">Сильные стороны:
</t>
    </r>
    <r>
      <rPr>
        <sz val="8"/>
        <color theme="1"/>
        <rFont val="Calibri"/>
        <family val="2"/>
        <charset val="204"/>
      </rPr>
      <t xml:space="preserve">-Создание системы индивидуального развития сотрудников;
-Мотивация и вдохновение команды на новые задачи;
- Рост и продвижение сотрудников;
- Формирование отлаженных рабочих-процессов;
- Прозрачность и предсказуемость в работе.
</t>
    </r>
    <r>
      <rPr>
        <b/>
        <sz val="8"/>
        <color theme="1"/>
        <rFont val="Calibri"/>
        <family val="2"/>
        <charset val="204"/>
      </rPr>
      <t xml:space="preserve">Как стиль влияет на человекоцентричную культуру в Ростелекоме:
</t>
    </r>
    <r>
      <rPr>
        <sz val="8"/>
        <color theme="1"/>
        <rFont val="Calibri"/>
        <family val="2"/>
        <charset val="204"/>
      </rPr>
      <t xml:space="preserve">Ваш стиль формирует культуру развития и порядка. Лидер показывает, что человекоцентричность - это создание понятной, удобной среды, траекторий развития, в которых каждый может реализовать свой потенциал.
</t>
    </r>
    <r>
      <rPr>
        <b/>
        <sz val="8"/>
        <color theme="1"/>
        <rFont val="Calibri"/>
        <family val="2"/>
        <charset val="204"/>
      </rPr>
      <t xml:space="preserve">Ваш стиль человекоцентричности эффективен в ситуациях, если:
</t>
    </r>
    <r>
      <rPr>
        <sz val="8"/>
        <color theme="1"/>
        <rFont val="Calibri"/>
        <family val="2"/>
        <charset val="204"/>
      </rPr>
      <t xml:space="preserve">- Нужно выстроить системное обучение и развитие в команде;
- Команде нужна прозрачность и предсказуемость, в том числе в карьерных треках и возможностях роста;
- Масштабируется практика наставничества и развития;
- Необходимо выстраивать системные бизнес-процессы;
- Нужно четко выделить зоны ответстенности и роли в команде.
</t>
    </r>
    <r>
      <rPr>
        <b/>
        <sz val="8"/>
        <color theme="1"/>
        <rFont val="Calibri"/>
        <family val="2"/>
        <charset val="204"/>
      </rPr>
      <t xml:space="preserve">Ваш стиль человекоцентричности менее эффективен в ситуациях, если:
</t>
    </r>
    <r>
      <rPr>
        <sz val="8"/>
        <color theme="1"/>
        <rFont val="Calibri"/>
        <family val="2"/>
        <charset val="204"/>
      </rPr>
      <t xml:space="preserve">- Нужно сосредоточиться на построении доверительной атмосферы и взаимопонимания между сотрудниками;
- Нужно действовать в условиях сжатых сроков и неопределенности;
- Команде требуется неформальная поддержка и восстановление отношений после конфликта
</t>
    </r>
  </si>
  <si>
    <r>
      <t xml:space="preserve">Сочетание данных стилей объединяет фокус на культуру взаимодействия, создание доброжелательной атмосферы в команде (командный стиль), а также развитие и мотивацию сотрудников (вдохновляющий стиль). Векторы в модели человекоцентричности- Культура и Лидер. Приоритеты- создание доверительной, уважительной атмосферы, в которой каждый человек чувствует поддержку, поддержка индивидуального роста и развития сотрудников. 
</t>
    </r>
    <r>
      <rPr>
        <b/>
        <sz val="8"/>
        <rFont val="Calibri"/>
        <family val="2"/>
        <charset val="204"/>
      </rPr>
      <t>Сильные стороны:</t>
    </r>
    <r>
      <rPr>
        <sz val="8"/>
        <rFont val="Calibri"/>
        <family val="2"/>
        <charset val="204"/>
      </rPr>
      <t xml:space="preserve">
- Создание условий для раскрытия потенциала сотрудников;
- Возможности для роста и обучения;
- Доброжелательная культура общения;
- Уважительная коммуникация и конструктивная обратная связь;
- Культура взаимопомощи и создание психологической безопасности;
</t>
    </r>
    <r>
      <rPr>
        <b/>
        <sz val="8"/>
        <rFont val="Calibri"/>
        <family val="2"/>
        <charset val="204"/>
      </rPr>
      <t>Как стиль влияет на человекоцентричную культуру в Ростелекоме?</t>
    </r>
    <r>
      <rPr>
        <sz val="8"/>
        <rFont val="Calibri"/>
        <family val="2"/>
        <charset val="204"/>
      </rPr>
      <t xml:space="preserve">
Ваш стиль формирует культуру развития в сочетании с  уважениее и поддержкой в команде. Лидер показывает, что человекоцентричность — это тёплая доброжелательная атмосфера в команде и активное участие в развитии  людей: обучении, новых вызовах, верой в потенциал и мотивации.
</t>
    </r>
    <r>
      <rPr>
        <b/>
        <sz val="8"/>
        <rFont val="Calibri"/>
        <family val="2"/>
        <charset val="204"/>
      </rPr>
      <t>Ваш стиль человекоцентричности эффективен, если:</t>
    </r>
    <r>
      <rPr>
        <sz val="8"/>
        <rFont val="Calibri"/>
        <family val="2"/>
        <charset val="204"/>
      </rPr>
      <t xml:space="preserve">
- Нужно адаптировать новых сотрудников и обеспечить их быстрый рост и комфортное вхождение в культуру;
- Команде не хватает мотивации и веры в свои возможности
- Формируется новая команда и нужно заложить культуру наставничества, уважения и непрерывного развития;
- Требуется развить сотрудников до новых ролей, сохранив при этом лояльность и вовлечённость.
</t>
    </r>
    <r>
      <rPr>
        <b/>
        <sz val="8"/>
        <rFont val="Calibri"/>
        <family val="2"/>
        <charset val="204"/>
      </rPr>
      <t>Ваш стиль человекоцентричности менее эффективен, если:</t>
    </r>
    <r>
      <rPr>
        <sz val="8"/>
        <rFont val="Calibri"/>
        <family val="2"/>
        <charset val="204"/>
      </rPr>
      <t xml:space="preserve">
- К текущих рабочих приоритетах — жёсткие сроки и операционный контроль;
- Требуются прозрачные договорённости, предсказуемость и отлаженность рабочих процессов.
- Нужно быстро принять непопулярное кадровое решение
- Важнее сфокусироваться на четкой структуре и ясных критериях успеха.</t>
    </r>
  </si>
  <si>
    <r>
      <t xml:space="preserve">Сочетание данных стилей объединяет фокус на развитие людей, их мотивацию (вдохновляющий стиль); создание доброжательной, уважительной командной атмосферы (командный стиль) и организацию прозрачных рабочих процессов (процессный стиль). Приоритеты - создание развивающей, поддерживающей и хорошо организованной среды, в которой люди чувствуют уважение, видят перспективы роста и опираются на понятные, эффективные процессы.  В модели человекоцентричности такому стилю соответствуют три вектора: «Лидер», «Культура» и «Процессы и практики».
</t>
    </r>
    <r>
      <rPr>
        <b/>
        <sz val="8"/>
        <rFont val="Calibri"/>
        <family val="2"/>
        <charset val="204"/>
      </rPr>
      <t>Сильные стороны:</t>
    </r>
    <r>
      <rPr>
        <sz val="8"/>
        <rFont val="Calibri"/>
        <family val="2"/>
        <charset val="204"/>
      </rPr>
      <t xml:space="preserve">
- Создание условий для раскрытия потенциала сотрудников;
- Возможности для роста и обучения;
- Доброжелательная культура общения;
- Уважительная коммуникация и конструктивная обратная связь;
- Прозрачность и предсказуемость в работе;
- Устранение организационных барьеров;
</t>
    </r>
    <r>
      <rPr>
        <b/>
        <sz val="8"/>
        <rFont val="Calibri"/>
        <family val="2"/>
        <charset val="204"/>
      </rPr>
      <t xml:space="preserve">Как стиль влияет на человекоцентричную культуру в Ростелекоме:
</t>
    </r>
    <r>
      <rPr>
        <sz val="8"/>
        <rFont val="Calibri"/>
        <family val="2"/>
        <charset val="204"/>
      </rPr>
      <t xml:space="preserve">Ваш стиль создает культуру, в которой каждый видит перспективу роста и получает поддержку в развитии; сотрудники чувствуют уважение, доверие и готовность помочь; люди понимают свою роль, зоны ответственности и правила взаимодействия; а рабочие процессы выстраиваются четко и прозрачно.
</t>
    </r>
    <r>
      <rPr>
        <b/>
        <sz val="8"/>
        <rFont val="Calibri"/>
        <family val="2"/>
        <charset val="204"/>
      </rPr>
      <t xml:space="preserve">Ваш стиль человекоцентричности эффективен в ситуациях, если:
</t>
    </r>
    <r>
      <rPr>
        <sz val="8"/>
        <rFont val="Calibri"/>
        <family val="2"/>
        <charset val="204"/>
      </rPr>
      <t xml:space="preserve">- Команде нужно одновременно создать атмосферу доверия, выстроить систему развития и наладить прозрачные процессы;
- Формируется новая команда — вы закладываете и культуру наставничества, и уважительное общение, и понятные процессы;
- Необходимо адаптировать и развивать новых сотрудников;
- Масштабируется типовая работа и важно сохранить человеческое отношение.
</t>
    </r>
    <r>
      <rPr>
        <b/>
        <sz val="8"/>
        <rFont val="Calibri"/>
        <family val="2"/>
        <charset val="204"/>
      </rPr>
      <t>Ваш стиль человекоцентричности менее эффективен, если:</t>
    </r>
    <r>
      <rPr>
        <sz val="8"/>
        <rFont val="Calibri"/>
        <family val="2"/>
        <charset val="204"/>
      </rPr>
      <t xml:space="preserve">
- Команда находится в условиях жёстких сроков и ограниченных ресурсов;
- Нужно принять быстрое решение, не вовлекая при этом команду в обсуждение;
- Требуется достижение высоких результатов в условиях неопреденности или кризиса.</t>
    </r>
  </si>
  <si>
    <r>
      <rPr>
        <sz val="8"/>
        <color theme="1"/>
        <rFont val="Calibri"/>
        <family val="2"/>
        <charset val="204"/>
      </rPr>
      <t xml:space="preserve">Сочетание данных стилей объединяет ориентацию на команду, культуру взаимодействия и создание доброжелательных отношений (командный стиль) , а также организацию работы, прозрачность в рабочих процессах (процессный стиль). Векторы в модели человекоцентричности: «Культура» и «Процессы и практики». Приоритеты лидера — создание доброжелательной, уважительной  среды и параллелельно — прозрачных, понятных и эффективных процессов.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-Создание порядка и доброжелательной командной атмосферы;
-Лидер заботится о людях и их эффективности, создавая четко отлаженные процессы;
-Создание четких договоренностей в уважительном тоне;
-Надёжная среда для адаптации: новые сотрудники получают и поддержку, и понимание процессов, ролей и ответственности;
</t>
    </r>
    <r>
      <rPr>
        <b/>
        <sz val="8"/>
        <color theme="1"/>
        <rFont val="Calibri"/>
        <family val="2"/>
        <charset val="204"/>
      </rPr>
      <t>Как стиль влияет на человекоцентричную культуру в Ростелекоме:</t>
    </r>
    <r>
      <rPr>
        <sz val="8"/>
        <color theme="1"/>
        <rFont val="Calibri"/>
        <family val="2"/>
        <charset val="204"/>
      </rPr>
      <t xml:space="preserve">
Ваш стиль формирует культуру порядка, основанного на уважении. Лидер показывает, что человекоцентричность - это гармоничное сочетание: когда процессы продуманы и прозрачны, людям комфортнее работать, а когда в команде уважение и поддержка — процессы внедряются легче и с меньшим сопротивлением.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  <charset val="204"/>
      </rPr>
      <t xml:space="preserve">
- Команде нужны одновременно прозрачность, предсказуемость и уважительная, поддерживающая атмосфера;
- Необходимо наладить уважительные коммуникации;
- Нужно создать сплоченную рабочую среду;
- Масштабируется типовая работа;
- Нужно упростить и оптимизировать процессы;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 в ситуациях, если:</t>
    </r>
    <r>
      <rPr>
        <sz val="8"/>
        <color theme="1"/>
        <rFont val="Calibri"/>
        <family val="2"/>
        <charset val="204"/>
      </rPr>
      <t xml:space="preserve">
- Требуется фокус на инновации и эксперименты;
- Команде не хватает мотивации и индивидуального подхода к развитию.
- Команда находится в условиях жестких сроков и неопределенности
- Команде требуются амбициозные, развивающие их новые навыки, задачи
</t>
    </r>
  </si>
  <si>
    <r>
      <t xml:space="preserve">Сочетание данных стилей объединяет ориентацию на результат, создание ценность для клиента и Общества (целеустремленный стиль), а также фокус развитие потенциала и мотивацию сотрудников (вдохновляющий стиль). Векторы в модели человекоцентричности: «Стратегия» и «Лидер». Приоритеты лидера — достижение амбициозных целей через вдохновение и развитие сотрудников . Такой лидер ставит команде высокие цели, которые направлены на создание пользы для Общества и клиентов, мотивирует и развивает для их достижения. 
</t>
    </r>
    <r>
      <rPr>
        <b/>
        <sz val="8"/>
        <rFont val="Calibri"/>
        <family val="2"/>
        <charset val="204"/>
      </rPr>
      <t>Сильные стороны</t>
    </r>
    <r>
      <rPr>
        <sz val="8"/>
        <rFont val="Calibri"/>
        <family val="2"/>
        <charset val="204"/>
      </rPr>
      <t xml:space="preserve">
- Создание амбициозного видения, связанного с измеримыми результатами;
- Мотивация сотрудников с опорой на то, какую ценность результаты принесут клиентам;
- Принятие быстрых решений без потери фокуса на рост и раскрытие потенциала подчиненных;
- Развитие сотрудников через амбициозные задачи;
- Формирование культуры результативности, в которой каждый может развивать свою карьеру.
</t>
    </r>
    <r>
      <rPr>
        <b/>
        <sz val="8"/>
        <rFont val="Calibri"/>
        <family val="2"/>
        <charset val="204"/>
      </rPr>
      <t>Как стиль влияет на человекоцентричную культуру в Ростелекоме?</t>
    </r>
    <r>
      <rPr>
        <sz val="8"/>
        <rFont val="Calibri"/>
        <family val="2"/>
        <charset val="204"/>
      </rPr>
      <t xml:space="preserve">
Стиль формирует культуру амбициозного развития с ясным результатом. Лидер показывает, что в команде понятные цели, они измеримы и связаны с пользой для клиента. В таком подходе сотрудники чувствуют, что их потенциал видят и дают задачи «на вырост»; а высокая требовательность к результату сочетается с верой в возможности команды.
</t>
    </r>
    <r>
      <rPr>
        <b/>
        <sz val="8"/>
        <rFont val="Calibri"/>
        <family val="2"/>
        <charset val="204"/>
      </rPr>
      <t>Ваш стиль человекоцентричности эффективен, если:</t>
    </r>
    <r>
      <rPr>
        <sz val="8"/>
        <rFont val="Calibri"/>
        <family val="2"/>
        <charset val="204"/>
      </rPr>
      <t xml:space="preserve">
- Компании нужно одновременно достичь амбициозных целей и вырастить новых лидеров-преемников;
- Команда снизила позитивный настрой и мотивацию;
- Стоит задача трансформации или запуска нового направления, где важны и скорость, и вовлечение людей;
- Сотрудники обладают высоким потенциалом, но им не хватает ясности целей и связи с результатом — вы сочетаете и то, и другое;
- Нужно увлечь команду долгосрочной стратегией, не теряя фокуса на текущих KPI.
</t>
    </r>
    <r>
      <rPr>
        <b/>
        <sz val="8"/>
        <rFont val="Calibri"/>
        <family val="2"/>
        <charset val="204"/>
      </rPr>
      <t>Ваш стиль человекоцентричности менее эффективен, если:</t>
    </r>
    <r>
      <rPr>
        <sz val="8"/>
        <rFont val="Calibri"/>
        <family val="2"/>
        <charset val="204"/>
      </rPr>
      <t xml:space="preserve">
- В текущих приоритетах работы — операционный контроль и создание регламентации. 
- Нужно построить или восстановить доверие и уважительные\доброжелательные коммуникации в команде после конфликта. 
- Требуется фокус на упрощение текущих процессов. 
- Команде нужна не вдохновляющая цель, а чёткие, стабильные правила и предсказуемость. </t>
    </r>
  </si>
  <si>
    <r>
      <t xml:space="preserve">Попробуйте расширить набор инструментов лидера: сохранить сочетание амбициозных целей и развитие потенциала людей, но усилить управляемость через фокус на укрепление командных отношений и создание прозрачных рабочих процессов.
</t>
    </r>
    <r>
      <rPr>
        <b/>
        <sz val="8"/>
        <rFont val="Calibri"/>
        <family val="2"/>
        <charset val="204"/>
      </rPr>
      <t xml:space="preserve">Узнайте больше о своей команде:
</t>
    </r>
    <r>
      <rPr>
        <sz val="8"/>
        <rFont val="Calibri"/>
        <family val="2"/>
        <charset val="204"/>
      </rPr>
      <t xml:space="preserve">- Проведите индивидуальные беседы и узнайте: достаточно ли в команде взаимопомощи, чувствуют ли сотрудники, что могут обратиться за поддержкой, не боясь давления.
- Узнайте, насколько сотрудники чувствуют себя частью команды, а не отдельно взятыми игроками, нет ли в команде скрытых конфликтов и напряжения.
- Проанализируйте, достаточно ли  чётко распределены роли, зоны ответственности, а регламенты понятны и актуальны.
- Спросите: какие процессы и согласования отнимают больше всего времени и создают барьеры.
</t>
    </r>
    <r>
      <rPr>
        <b/>
        <sz val="8"/>
        <rFont val="Calibri"/>
        <family val="2"/>
        <charset val="204"/>
      </rPr>
      <t xml:space="preserve">Внедряйте в практику и делайте чаще:
</t>
    </r>
    <r>
      <rPr>
        <sz val="8"/>
        <rFont val="Calibri"/>
        <family val="2"/>
        <charset val="204"/>
      </rPr>
      <t xml:space="preserve">- Регулярно проводите командные встречи, где можно обсудить не только результаты, но и то, как сы работаем вместе: что помогает, а что мешает сотрудничеству.
- В конце встреч выделяйте немного времени, чтобы каждый мог поблагодарить коллегу за помощь, поддержку или хорошую идею. 
- Периодически задавайте вопросы, которые помогут вам узнать состояние команды и своевременно понять, где внимания нужно больше.
- Вместе с командой составьте карту «узких мест»: где согласования занимают слишком много времени, где роли размыты, где информация теряется. 
- Убедитесь, что каждый понимает, за что отвечает лично он, а за что — коллеги. Это повысит организованность и порядок.
- Введите «процессные ретроспективы»: периодически разбирайте не только что сделано (результат), но и как - какие процессы помогали, какие мешали, что можно улучшить.
</t>
    </r>
    <r>
      <rPr>
        <b/>
        <sz val="8"/>
        <rFont val="Calibri"/>
        <family val="2"/>
        <charset val="204"/>
      </rPr>
      <t xml:space="preserve">Закрепите изменения и дополните свой стиль:
</t>
    </r>
    <r>
      <rPr>
        <sz val="8"/>
        <rFont val="Calibri"/>
        <family val="2"/>
        <charset val="204"/>
      </rPr>
      <t>- Перед запуском новой амбициозной задачи задайте себе вопросы: учтена ли потребность команды в теплых доверительных отношениях; какие процессы я буду улучшать, чтобы в будущем выполнение подобной задачи стало более системным и предсказуемым.
- Назначьте «хранителя процессов» в команде. Если у вас нет склонности к деталям, делегируйте контроль за регламентами сотруднику, который в этом силён. 
- Развивайте культуру взаимопомощи через ценность для клиента. Свяжите командное взаимодействие с результатом: «Когда мы помогаем друг другу, клиент получает лучший сервис быстрее».</t>
    </r>
  </si>
  <si>
    <r>
      <t xml:space="preserve">Сочетание данных стилей объединяет ориентацию на результат, создание ценности для клиента и Общества (целеустремленный стиль) и команду, культуру взаимодействия и уважительных коммуникаций (командный стиль). Векторы в модели человекоцентричности: «Стратегия» и «Культура». Приоритеты лидера — достижение измеримых целей через уважительное общение, доверие и командную работу. Такой лидер создаёт среду, где люди чувствуют поддержку и могут эффективно договариваться и при этом сфокусированы на достижение высоких результатов.
</t>
    </r>
    <r>
      <rPr>
        <b/>
        <sz val="8"/>
        <rFont val="Calibri"/>
        <family val="2"/>
        <charset val="204"/>
      </rPr>
      <t>Сильные стороны:</t>
    </r>
    <r>
      <rPr>
        <sz val="8"/>
        <rFont val="Calibri"/>
        <family val="2"/>
        <charset val="204"/>
      </rPr>
      <t xml:space="preserve">
- Достижение амбициозных целей в атмосфере доверия;
- Требования и уважение: лидер стремится к достижению результатов, но не упускает создание уважительных и тактичных отношений в команде;
- Принятие быстрых решений;
- Создание сплоченной команды.
</t>
    </r>
    <r>
      <rPr>
        <b/>
        <sz val="8"/>
        <rFont val="Calibri"/>
        <family val="2"/>
        <charset val="204"/>
      </rPr>
      <t>Как стиль влияет на человекоцентричную культуру в Ростелекоме?</t>
    </r>
    <r>
      <rPr>
        <sz val="8"/>
        <rFont val="Calibri"/>
        <family val="2"/>
        <charset val="204"/>
      </rPr>
      <t xml:space="preserve">
Стиль формирует культуру ориентации на результат, достижение измеримых целей в доброжелательной командой среде. Лидер показывает, что достигать высокие цели можно в атмофере доверия, взаимопомощи и уважения.
</t>
    </r>
    <r>
      <rPr>
        <b/>
        <sz val="8"/>
        <rFont val="Calibri"/>
        <family val="2"/>
        <charset val="204"/>
      </rPr>
      <t xml:space="preserve">Ваш стиль человекоцентричности эффективен, если:
</t>
    </r>
    <r>
      <rPr>
        <sz val="8"/>
        <rFont val="Calibri"/>
        <family val="2"/>
        <charset val="204"/>
      </rPr>
      <t xml:space="preserve">- Нужно достичь амбициозных целей, укрепив при этом укрепив командный дух;
- В команде есть напряжение или недопонимание- вы поможете разрешить сложную ситуацию;
- Команда состоит из разных сильных экспертов, и нужен баланс между результатом и взаимоотношениями;
- Компания переживает изменения, и важно одновременно сохранить фокус на результате и поддержать людей.
</t>
    </r>
    <r>
      <rPr>
        <b/>
        <sz val="8"/>
        <rFont val="Calibri"/>
        <family val="2"/>
        <charset val="204"/>
      </rPr>
      <t>Ваш стиль человекоцентричности менее эффективен, если:
-</t>
    </r>
    <r>
      <rPr>
        <sz val="8"/>
        <rFont val="Calibri"/>
        <family val="2"/>
        <charset val="204"/>
      </rPr>
      <t xml:space="preserve"> Команде нужно выделить время и ресурс на индивидуальные траектории развития;
- Требуется фокус на создание прозрачных рабочих процессов и регламентов;
- Нужно предоставить сотруднику больше свободы для самостоятельного поиска решений. </t>
    </r>
  </si>
  <si>
    <r>
      <rPr>
        <sz val="8"/>
        <color theme="1"/>
        <rFont val="Calibri"/>
        <family val="2"/>
        <charset val="204"/>
      </rPr>
      <t xml:space="preserve">Сочетание данных стилей объединяет фокус на достижение результатов, создание ценности для клиентов и Общества (целеустремленный стиль), а также организацию работы, прозрачность в процессах (процессный стиль). Векторы в модели человекоцентричности- Стратегия и Процессы и практики. Приоритеты лидера — достижение амбициозных, измеримых целей через отлаженные, прозрачные и эффективные процессы. Лидер создаёт среду, в которой каждый понимает свою роль, зону ответственности и то, как его работа ведёт к результату. 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-Ясные цели и прозрачные процессы- сотрудники понимают образ результата и четкий пусть его достижения;
-Быстрые решения, подкрепленные зафиксированными правилами;
-Создание отлаженных, четких рабочих процессов;
-Предсказуемость и надежность- команда знает, что в какие сроки и каким образом необходимо выполнить;
-Организованный рабочий процесс, который направлен на создание ценности для клиентов и Общества.
</t>
    </r>
    <r>
      <rPr>
        <b/>
        <sz val="8"/>
        <color theme="1"/>
        <rFont val="Calibri"/>
        <family val="2"/>
        <charset val="204"/>
      </rPr>
      <t xml:space="preserve">Как стиль влияет на человекоцентричную  культуру в Ростелекоме:
</t>
    </r>
    <r>
      <rPr>
        <sz val="8"/>
        <color theme="1"/>
        <rFont val="Calibri"/>
        <family val="2"/>
        <charset val="204"/>
      </rPr>
      <t xml:space="preserve">Стиль формирует культуру результативности и порядка. Лидер показывает, как отлаженная система работы помогает сотрудникам сосредоточиться на достижении результатов, двигаться к  целям без неопределенности в процессах. 
</t>
    </r>
    <r>
      <rPr>
        <b/>
        <sz val="8"/>
        <color theme="1"/>
        <rFont val="Calibri"/>
        <family val="2"/>
        <charset val="204"/>
      </rPr>
      <t xml:space="preserve">Ваш стиль человекоцентричности эффективен в ситуациях, если:
</t>
    </r>
    <r>
      <rPr>
        <sz val="8"/>
        <color theme="1"/>
        <rFont val="Calibri"/>
        <family val="2"/>
        <charset val="204"/>
      </rPr>
      <t xml:space="preserve">- Команде нужна прозрачность: понятные роли, сроки, критерии успеха;
- Масштабируется типовая работа и требуется воспроизводимый, эффективный способ действий;
- Нужно быстро принять решение и сфокусировать команду на приоритетах в условиях неопределённости;
- Команде важно понять, как её работа создаёт ценность для клиента и бизнеса, в том числе в долгосрочной перспективе;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 в ситуациях, если:</t>
    </r>
    <r>
      <rPr>
        <sz val="8"/>
        <color theme="1"/>
        <rFont val="Calibri"/>
        <family val="2"/>
        <charset val="204"/>
      </rPr>
      <t xml:space="preserve">
- Важно сфокусироваться на построении отношений и взаимопонимания внутри команды;
- Команде нужно выделить время и ресурс на индивидуальные траектории развития компетенций.
- Команда пережила конфликт или потеряла доверие — первичны восстановление отношений и психологическая безопасность;
- Сотрудник осваивает новую роль и нужна поддержка, а не только ускорение;
</t>
    </r>
  </si>
  <si>
    <r>
      <rPr>
        <sz val="8"/>
        <color theme="1"/>
        <rFont val="Calibri"/>
        <family val="2"/>
        <charset val="204"/>
      </rPr>
      <t xml:space="preserve">Сочетание данных стилей объединяет фокус на достижение результатов, создание ценности для клиентов и Общества (целеустремленный стиль);  на организацию работы, прозрачные бизнес-процессы (процессный стиль); и мотивацию и развитие сотрудников (вдохновляющий стиль). Векторы в модели человекоцентричности — Стратегия, Лидер, Процессы и практики. Приоритеты - достижение амбициозных целей через развитие людей и выстроенные, эффективные процессы.
</t>
    </r>
    <r>
      <rPr>
        <b/>
        <sz val="8"/>
        <color theme="1"/>
        <rFont val="Calibri"/>
        <family val="2"/>
        <charset val="204"/>
      </rPr>
      <t>Сильные стороны:</t>
    </r>
    <r>
      <rPr>
        <sz val="8"/>
        <color theme="1"/>
        <rFont val="Calibri"/>
        <family val="2"/>
        <charset val="204"/>
      </rPr>
      <t xml:space="preserve">
- Прозрачность и предсказуемость в работе;
- 	Четкая организация работы команды;
- Ориентация на ценность для клиента и общества;
- Быстрые и качественные решения в условиях неопределённости;
- Создание условий для раскрытия потенциала сотрудников;
- Возможности для роста и обучения;
</t>
    </r>
    <r>
      <rPr>
        <b/>
        <sz val="8"/>
        <color theme="1"/>
        <rFont val="Calibri"/>
        <family val="2"/>
        <charset val="204"/>
      </rPr>
      <t>Как стиль влияет на человекоцентричную культуру в Ростелекоме:</t>
    </r>
    <r>
      <rPr>
        <sz val="8"/>
        <color theme="1"/>
        <rFont val="Calibri"/>
        <family val="2"/>
        <charset val="204"/>
      </rPr>
      <t xml:space="preserve">
Ваш стиль формирует культуру, в которой каждый понимает цели и видит, как их достижение приносит ценность для клиента и Общества и помогает развивать профессиональные компетенции, а также выстраивает эффективные рабочие процессы.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  <charset val="204"/>
      </rPr>
      <t xml:space="preserve">
- Нужно достичь амбициозных целей, одновременно развивая команду и выстраивая эффективные процессы;
- Команде нужны одновременно ясные цели, перспектива роста и прозрачные правила;
- Масштабируется практика обучения и развития — вы можете сделать её воспроизводимой и измеримой;
</t>
    </r>
    <r>
      <rPr>
        <b/>
        <sz val="8"/>
        <color theme="1"/>
        <rFont val="Calibri"/>
        <family val="2"/>
        <charset val="204"/>
      </rPr>
      <t>Ваш стиль человекоцентричности менее эффективен в ситуациях, если:</t>
    </r>
    <r>
      <rPr>
        <sz val="8"/>
        <color theme="1"/>
        <rFont val="Calibri"/>
        <family val="2"/>
        <charset val="204"/>
      </rPr>
      <t xml:space="preserve">
- В приоритете — построение доверительных отношений в команде;
- В команде есть напряжение и конфликты;
- Команде не хватает неформального общения;
- Надо усилить сплоченность.</t>
    </r>
  </si>
  <si>
    <r>
      <t xml:space="preserve">Сочетение данных стилей объединяет фокус на  достижение результата, создание ценности для клиента и Общества (целеустремленный стиль); мотивацию, развитие людей и раскрытие их потенциала (вдохновляющий стиль); а также создание доброжелательной и уважительной командной атмосферы (командный стиль). Приоритет лидера -достижение высоких целей через вдохновение, развитие людей и уважительную командную культуру. Векторы в модели человекоцентричности- Стратегия, Лидер и Команда.
</t>
    </r>
    <r>
      <rPr>
        <b/>
        <sz val="8"/>
        <rFont val="Calibri"/>
        <family val="2"/>
        <charset val="204"/>
      </rPr>
      <t xml:space="preserve">Сильные стороны:
</t>
    </r>
    <r>
      <rPr>
        <sz val="8"/>
        <rFont val="Calibri"/>
        <family val="2"/>
        <charset val="204"/>
      </rPr>
      <t xml:space="preserve">- Достижение амбициозных целей, вдохновение и поддержка сотрудников;
- Быстрые решения с учётом возможностей и потенциала команды;
- Ориентация на создание ценности для клиента и общества;
- Доброжелательная культура общения;
- Уважительная коммуникация и конструктивная обратная связь;
- Создание условий для раскрытия потенциала сотрудников;
- Возможности для роста и обучения.
</t>
    </r>
    <r>
      <rPr>
        <b/>
        <sz val="8"/>
        <rFont val="Calibri"/>
        <family val="2"/>
        <charset val="204"/>
      </rPr>
      <t xml:space="preserve">Как стиль влияет на человекоцентричную культуру в Ростелекоме?
</t>
    </r>
    <r>
      <rPr>
        <sz val="8"/>
        <rFont val="Calibri"/>
        <family val="2"/>
        <charset val="204"/>
      </rPr>
      <t xml:space="preserve">Ваш стиль формирует культуру достижения высоких целей с опорой на команду и вклад в индивидуальное развитие сотрудников. Лидер показывает, как можно достигать измеримый с помощью мотивации и вклада в развитие индивидуальных компетенций сотрудников, а также через создание сплоченной командной работы.
</t>
    </r>
    <r>
      <rPr>
        <b/>
        <sz val="8"/>
        <rFont val="Calibri"/>
        <family val="2"/>
        <charset val="204"/>
      </rPr>
      <t xml:space="preserve">Ваш стиль человекоцентричности эффективен в ситуациях, если:
</t>
    </r>
    <r>
      <rPr>
        <sz val="8"/>
        <rFont val="Calibri"/>
        <family val="2"/>
        <charset val="204"/>
      </rPr>
      <t xml:space="preserve">- Нужно быстро достичь амбициозных результатов, вдохновляя и объединяя команду;
- Стоит задача трансформации или запуска нового направления, где важны и скорость, и вовлечение, и развитие людей;
- В команде есть напряжение между «достигаторами» и «хранителями культуры» — вы можете их объединить.
</t>
    </r>
    <r>
      <rPr>
        <b/>
        <sz val="8"/>
        <rFont val="Calibri"/>
        <family val="2"/>
        <charset val="204"/>
      </rPr>
      <t xml:space="preserve">Ваш стиль человекоцентричности менее эффективен, если:
</t>
    </r>
    <r>
      <rPr>
        <sz val="8"/>
        <rFont val="Calibri"/>
        <family val="2"/>
        <charset val="204"/>
      </rPr>
      <t>- в текущих приоритетах налаживание операционных процессов;
- нужна системная, повторяемая работа с минимальными отклонениями;
- команде нужна стабильная работа с понятными правилами</t>
    </r>
  </si>
  <si>
    <r>
      <t xml:space="preserve">Ваш профиль объединяет все четыре стиля человекоцентричного лидерства: целеустремленный, процессный, вдохновляющий и командный. Векторы в модели человекоцентричности: Стратегия, Процессы и практики, Лидер и Культура. Приоритеты лидера- гармоничное сочетание результата, отношений, развития и порядка. Лидер ставит амбициозные цели, поддерживает команду, развивает людей и выстраивает эффективные процессы.
</t>
    </r>
    <r>
      <rPr>
        <b/>
        <sz val="8"/>
        <color theme="1"/>
        <rFont val="Calibri"/>
        <family val="2"/>
        <charset val="204"/>
      </rPr>
      <t>Сильные стороны</t>
    </r>
    <r>
      <rPr>
        <sz val="8"/>
        <color theme="1"/>
        <rFont val="Calibri"/>
        <family val="2"/>
      </rPr>
      <t xml:space="preserve">
- 	Универсальность и адаптивность;
- Гибкая реакция на изменения; 
- Формирование целостной человекоцентричной культуры;
- Системное видение: лидер видит, как цели, отношения, развитие и процессы влияют друг на друга, и может выстраивать сбалансированные решения.
</t>
    </r>
    <r>
      <rPr>
        <b/>
        <sz val="8"/>
        <color theme="1"/>
        <rFont val="Calibri"/>
        <family val="2"/>
        <charset val="204"/>
      </rPr>
      <t xml:space="preserve">
Как стиль влияет на человекоцентричную культуру в Ростелекоме?</t>
    </r>
    <r>
      <rPr>
        <sz val="8"/>
        <color theme="1"/>
        <rFont val="Calibri"/>
        <family val="2"/>
      </rPr>
      <t xml:space="preserve">
Ваш стиль создает культуру, в которой:
- Цели понятны и связаны с пользой для клиента;
- Команда чувствует уважение, поддержку и командый дух;
- Сотрудники видят перспективы роста и получают задачи для развития;
- Работа организована прозрачно, предсказуемо и без лишних барьеров (Процессный).
</t>
    </r>
    <r>
      <rPr>
        <b/>
        <sz val="8"/>
        <color theme="1"/>
        <rFont val="Calibri"/>
        <family val="2"/>
        <charset val="204"/>
      </rPr>
      <t>Ваш стиль человекоцентричности эффективен в ситуациях, если:</t>
    </r>
    <r>
      <rPr>
        <sz val="8"/>
        <color theme="1"/>
        <rFont val="Calibri"/>
        <family val="2"/>
      </rPr>
      <t xml:space="preserve">
- Ситуация требует комплексного подхода;
- От лидера требуется проявление гибкости;
- Вы управляете разными задачами и разными командами;
- Команда находится на этапе своего роста.
</t>
    </r>
    <r>
      <rPr>
        <b/>
        <sz val="8"/>
        <color theme="1"/>
        <rFont val="Calibri"/>
        <family val="2"/>
        <charset val="204"/>
      </rPr>
      <t xml:space="preserve">
Ваш стиль человекоцентричности менее эффективен, если:</t>
    </r>
    <r>
      <rPr>
        <sz val="8"/>
        <color theme="1"/>
        <rFont val="Calibri"/>
        <family val="2"/>
      </rPr>
      <t xml:space="preserve">
- нужен ярко выраженный стиль, а не баланс (например, в кризисной ситуации жёсткого достижения целей или в глубокой процессной трансформации);
- требуется действовать в условиях жесткой конкуренции и радикального сокращения издержек;
- нужно быстро сделать принципиальный выбор, в котором сложно найти баланс (например, между долгосрочным развитием и краткосрочной прибылью).
</t>
    </r>
  </si>
  <si>
    <r>
      <rPr>
        <sz val="8"/>
        <color theme="1"/>
        <rFont val="Calibri"/>
        <family val="2"/>
        <charset val="204"/>
      </rPr>
      <t xml:space="preserve">Сочетение данных стилей объединяет фокус на команду, создание уважительных коммуникаций (командный стиль); организацию отлаженных рабочих процессов (процессный стиль); а также ориентацию на результат и создание ценности для клиентов и Общества (целеустремленный стиль). Векторы в модели человекоцентричности — Стратегия, Культура, Процессы и практики. Приоритеты - достижение измеримых целей через уважительную командную культуру и прозрачные, эффективные процессы. 
</t>
    </r>
    <r>
      <rPr>
        <b/>
        <sz val="8"/>
        <color theme="1"/>
        <rFont val="Calibri"/>
        <family val="2"/>
        <charset val="204"/>
      </rPr>
      <t xml:space="preserve">Сильные стороны:
</t>
    </r>
    <r>
      <rPr>
        <sz val="8"/>
        <color theme="1"/>
        <rFont val="Calibri"/>
        <family val="2"/>
        <charset val="204"/>
      </rPr>
      <t xml:space="preserve">- Достижение результатов в атмосфере уважения и порядка в рабочих процессах;
- Умение удерживать фокус и выделять приоритеты;
- Доброжелательная культура общения;
- Уважительная коммуникация и конструктивная обратная связь;
- Прозрачность и предсказуемость в работе;
-  Четкая организация рабочих процессов.
</t>
    </r>
    <r>
      <rPr>
        <b/>
        <sz val="8"/>
        <color theme="1"/>
        <rFont val="Calibri"/>
        <family val="2"/>
        <charset val="204"/>
      </rPr>
      <t>Как стиль влияет на человекоцентричную культуру в Ростелекоме:</t>
    </r>
    <r>
      <rPr>
        <sz val="8"/>
        <color theme="1"/>
        <rFont val="Calibri"/>
        <family val="2"/>
        <charset val="204"/>
      </rPr>
      <t xml:space="preserve">
Ваш стиль формирует культуру достижения высоких результатов через уважительные и доброжательные коммуникации в команде; и организацию рабочих процессов, в которых каждый понимает свою зону ответственности и способ действий. Лидер показывает, что достигать результатов можно через чёткие цели и образ результата, понятные правила и создание доверительный командных отношений.
</t>
    </r>
    <r>
      <rPr>
        <b/>
        <sz val="8"/>
        <color theme="1"/>
        <rFont val="Calibri"/>
        <family val="2"/>
        <charset val="204"/>
      </rPr>
      <t xml:space="preserve">Ваш стиль человекоцентричности эффективен в ситуациях, если:
</t>
    </r>
    <r>
      <rPr>
        <sz val="8"/>
        <color theme="1"/>
        <rFont val="Calibri"/>
        <family val="2"/>
        <charset val="204"/>
      </rPr>
      <t xml:space="preserve">- Нужно быстро достичь измеримых результатов, сохранив командный дух и опираясь на чёткие процессы;
- Команда работает с разными задачами— вы даёте ясность целей, ролей и процессов, сохраняя уважительную атмосферу;
- Возникают риски нарушения сроков — вы оперативно перераспределяете нагрузку, опираясь на чёткие роли и прозрачные договорённости;
- Команде нужны одновременно прозрачность, предсказуемость и уважительная, поддерживающая атмосфера.
</t>
    </r>
    <r>
      <rPr>
        <b/>
        <sz val="8"/>
        <color theme="1"/>
        <rFont val="Calibri"/>
        <family val="2"/>
        <charset val="204"/>
      </rPr>
      <t xml:space="preserve">Ваш стиль человекоцентричности менее эффективен в ситуациях, если:
</t>
    </r>
    <r>
      <rPr>
        <sz val="8"/>
        <color theme="1"/>
        <rFont val="Calibri"/>
        <family val="2"/>
        <charset val="204"/>
      </rPr>
      <t xml:space="preserve">- В текущих приоритетах-раскрытие потенциала сотрудников;
- Сотрудникам не хватает мотивации и веры в своии возможности;
- Нужны инновации, эксперименты и нестандартные решения — ваша склонность к порядку и результату может ограничивать свободу и креативность;
- Сотрудникам нужна помощь в построении индивидуальных траекторий развития.
</t>
    </r>
  </si>
  <si>
    <t>Ваши результаты:</t>
  </si>
  <si>
    <t>У вас наиболее выражены два стиля: целеустремленный и процессный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</si>
</sst>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Calibri"/>
    </font>
    <font>
      <i/>
      <sz val="11"/>
      <color theme="1"/>
      <name val="Calibri"/>
    </font>
    <font>
      <u/>
      <sz val="11"/>
      <color theme="10"/>
      <name val="Calibri"/>
    </font>
    <font>
      <b/>
      <sz val="14"/>
      <color theme="1"/>
      <name val="Calibri"/>
    </font>
    <font>
      <sz val="10"/>
      <color rgb="FFFF0000"/>
      <name val="Calibri"/>
    </font>
    <font>
      <sz val="8"/>
      <color rgb="FF000000"/>
      <name val="Calibri"/>
    </font>
    <font>
      <sz val="10"/>
      <color rgb="FF000000"/>
      <name val="Calibri"/>
    </font>
    <font>
      <sz val="18"/>
      <name val="Arial"/>
    </font>
    <font>
      <sz val="12"/>
      <color rgb="FF000000"/>
      <name val="Calibri"/>
    </font>
    <font>
      <sz val="9"/>
      <color theme="1"/>
      <name val="Calibri"/>
    </font>
    <font>
      <b/>
      <sz val="12"/>
      <color theme="1"/>
      <name val="Calibri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3"/>
      <color rgb="FFFFFFFF"/>
      <name val="Calibri"/>
    </font>
    <font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charset val="1"/>
    </font>
    <font>
      <b/>
      <sz val="11"/>
      <name val="Calibri"/>
      <family val="2"/>
      <charset val="204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sz val="8"/>
      <color theme="1"/>
      <name val="Calibri"/>
      <family val="2"/>
      <charset val="204"/>
    </font>
    <font>
      <b/>
      <sz val="8"/>
      <color theme="1"/>
      <name val="Calibri"/>
      <family val="2"/>
      <charset val="204"/>
    </font>
    <font>
      <sz val="8"/>
      <color theme="1"/>
      <name val="Calibri"/>
      <family val="2"/>
    </font>
    <font>
      <b/>
      <i/>
      <sz val="8"/>
      <color theme="1"/>
      <name val="Calibri"/>
      <family val="2"/>
      <charset val="204"/>
    </font>
    <font>
      <b/>
      <sz val="13"/>
      <color rgb="FFFFFFFF"/>
      <name val="Calibri"/>
      <family val="2"/>
      <charset val="204"/>
    </font>
    <font>
      <sz val="12"/>
      <name val="Calibri"/>
      <family val="2"/>
      <charset val="204"/>
      <scheme val="minor"/>
    </font>
    <font>
      <sz val="11"/>
      <color rgb="FFFF0000"/>
      <name val="Calibri"/>
      <family val="2"/>
      <charset val="204"/>
    </font>
    <font>
      <b/>
      <sz val="11"/>
      <color rgb="FF2F285F"/>
      <name val="Calibri"/>
    </font>
    <font>
      <b/>
      <sz val="9"/>
      <color rgb="FF5D6170"/>
      <name val="Calibri"/>
    </font>
    <font>
      <sz val="11"/>
      <name val="Calibri"/>
      <family val="2"/>
    </font>
    <font>
      <b/>
      <sz val="16"/>
      <color theme="1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ECECEC"/>
      </patternFill>
    </fill>
    <fill>
      <patternFill patternType="solid">
        <fgColor rgb="FFE1D7F0"/>
      </patternFill>
    </fill>
    <fill>
      <patternFill patternType="solid">
        <fgColor rgb="FFC62828"/>
      </patternFill>
    </fill>
    <fill>
      <patternFill patternType="solid">
        <fgColor rgb="FF388E3C"/>
      </patternFill>
    </fill>
    <fill>
      <patternFill patternType="solid">
        <fgColor rgb="FFEF6C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F8F8F8"/>
      </patternFill>
    </fill>
    <fill>
      <patternFill patternType="solid">
        <fgColor rgb="FFEDE9FE"/>
      </patternFill>
    </fill>
    <fill>
      <patternFill patternType="solid">
        <fgColor rgb="FFF3F4F8"/>
      </patternFill>
    </fill>
    <fill>
      <patternFill patternType="solid">
        <fgColor rgb="FFFAFAFF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E1D7F0"/>
      </top>
      <bottom style="thin">
        <color rgb="FFE1D7F0"/>
      </bottom>
      <diagonal/>
    </border>
    <border>
      <left style="medium">
        <color rgb="FF000000"/>
      </left>
      <right style="medium">
        <color rgb="FF000000"/>
      </right>
      <top style="thin">
        <color rgb="FFE1D7F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E1D7F0"/>
      </bottom>
      <diagonal/>
    </border>
    <border>
      <left/>
      <right/>
      <top/>
      <bottom style="thin">
        <color rgb="FFE1D7F0"/>
      </bottom>
      <diagonal/>
    </border>
    <border>
      <left/>
      <right style="medium">
        <color rgb="FF000000"/>
      </right>
      <top/>
      <bottom style="thin">
        <color rgb="FFE1D7F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E1D7F0"/>
      </top>
      <bottom/>
      <diagonal/>
    </border>
    <border>
      <left/>
      <right style="medium">
        <color rgb="FF000000"/>
      </right>
      <top style="thin">
        <color rgb="FFE1D7F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D8D5E8"/>
      </right>
      <top/>
      <bottom/>
      <diagonal/>
    </border>
    <border>
      <left/>
      <right/>
      <top/>
      <bottom style="thin">
        <color rgb="FFD8D5E8"/>
      </bottom>
      <diagonal/>
    </border>
    <border>
      <left/>
      <right style="thin">
        <color rgb="FFD8D5E8"/>
      </right>
      <top/>
      <bottom style="thin">
        <color rgb="FFD8D5E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 applyAlignment="1">
      <alignment vertical="top" wrapText="1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0" xfId="0" applyFont="1" applyFill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2" borderId="0" xfId="0" applyFont="1" applyFill="1"/>
    <xf numFmtId="0" fontId="2" fillId="2" borderId="0" xfId="0" applyFont="1" applyFill="1" applyAlignment="1">
      <alignment vertical="top"/>
    </xf>
    <xf numFmtId="0" fontId="1" fillId="0" borderId="2" xfId="0" applyFont="1" applyBorder="1" applyAlignment="1">
      <alignment horizontal="left"/>
    </xf>
    <xf numFmtId="1" fontId="2" fillId="0" borderId="2" xfId="0" applyNumberFormat="1" applyFont="1" applyBorder="1"/>
    <xf numFmtId="0" fontId="5" fillId="2" borderId="0" xfId="0" applyFont="1" applyFill="1" applyAlignment="1">
      <alignment vertical="top"/>
    </xf>
    <xf numFmtId="0" fontId="3" fillId="0" borderId="0" xfId="0" applyFont="1"/>
    <xf numFmtId="0" fontId="3" fillId="2" borderId="0" xfId="0" applyFont="1" applyFill="1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2" fillId="0" borderId="2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2" fillId="2" borderId="0" xfId="0" applyFont="1" applyFill="1"/>
    <xf numFmtId="0" fontId="1" fillId="0" borderId="1" xfId="0" applyFont="1" applyBorder="1" applyAlignment="1">
      <alignment horizontal="left" vertical="top"/>
    </xf>
    <xf numFmtId="0" fontId="2" fillId="3" borderId="3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1" fillId="3" borderId="2" xfId="0" applyFont="1" applyFill="1" applyBorder="1" applyAlignment="1">
      <alignment wrapText="1"/>
    </xf>
    <xf numFmtId="0" fontId="11" fillId="0" borderId="0" xfId="0" applyFont="1" applyAlignment="1">
      <alignment horizontal="left" vertical="center"/>
    </xf>
    <xf numFmtId="0" fontId="2" fillId="0" borderId="2" xfId="0" applyFont="1" applyBorder="1" applyAlignment="1">
      <alignment vertical="top" wrapText="1"/>
    </xf>
    <xf numFmtId="0" fontId="2" fillId="6" borderId="0" xfId="0" applyFont="1" applyFill="1"/>
    <xf numFmtId="0" fontId="3" fillId="2" borderId="0" xfId="0" applyFont="1" applyFill="1" applyAlignment="1">
      <alignment vertical="center"/>
    </xf>
    <xf numFmtId="0" fontId="18" fillId="0" borderId="2" xfId="0" applyFont="1" applyBorder="1"/>
    <xf numFmtId="0" fontId="19" fillId="3" borderId="2" xfId="0" applyFont="1" applyFill="1" applyBorder="1" applyAlignment="1">
      <alignment wrapText="1"/>
    </xf>
    <xf numFmtId="0" fontId="19" fillId="3" borderId="2" xfId="0" applyFont="1" applyFill="1" applyBorder="1" applyAlignment="1">
      <alignment horizontal="left" vertical="top"/>
    </xf>
    <xf numFmtId="0" fontId="19" fillId="3" borderId="2" xfId="0" applyFont="1" applyFill="1" applyBorder="1"/>
    <xf numFmtId="0" fontId="19" fillId="11" borderId="2" xfId="0" applyFont="1" applyFill="1" applyBorder="1" applyAlignment="1">
      <alignment wrapText="1"/>
    </xf>
    <xf numFmtId="0" fontId="19" fillId="3" borderId="2" xfId="0" applyFont="1" applyFill="1" applyBorder="1" applyAlignment="1">
      <alignment vertical="top" wrapText="1"/>
    </xf>
    <xf numFmtId="0" fontId="0" fillId="0" borderId="0" xfId="0"/>
    <xf numFmtId="0" fontId="21" fillId="0" borderId="22" xfId="0" applyFont="1" applyBorder="1" applyAlignment="1">
      <alignment horizontal="left" vertical="top"/>
    </xf>
    <xf numFmtId="0" fontId="20" fillId="0" borderId="22" xfId="0" applyFont="1" applyBorder="1" applyAlignment="1">
      <alignment horizontal="left" vertical="top"/>
    </xf>
    <xf numFmtId="0" fontId="20" fillId="0" borderId="22" xfId="0" applyFont="1" applyBorder="1"/>
    <xf numFmtId="0" fontId="10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3" fillId="0" borderId="22" xfId="0" applyFont="1" applyBorder="1" applyAlignment="1">
      <alignment vertical="top" wrapText="1"/>
    </xf>
    <xf numFmtId="0" fontId="25" fillId="0" borderId="22" xfId="0" applyFont="1" applyBorder="1" applyAlignment="1">
      <alignment vertical="top" wrapText="1"/>
    </xf>
    <xf numFmtId="0" fontId="26" fillId="0" borderId="22" xfId="0" applyFont="1" applyBorder="1" applyAlignment="1">
      <alignment vertical="top" wrapText="1"/>
    </xf>
    <xf numFmtId="0" fontId="10" fillId="0" borderId="0" xfId="0" applyFont="1" applyBorder="1" applyAlignment="1">
      <alignment wrapText="1"/>
    </xf>
    <xf numFmtId="0" fontId="8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7" fillId="0" borderId="22" xfId="0" applyFont="1" applyBorder="1" applyAlignment="1">
      <alignment vertical="top" wrapText="1"/>
    </xf>
    <xf numFmtId="0" fontId="23" fillId="0" borderId="22" xfId="0" applyFont="1" applyBorder="1" applyAlignment="1">
      <alignment horizontal="left" vertical="top" wrapText="1"/>
    </xf>
    <xf numFmtId="0" fontId="0" fillId="0" borderId="0" xfId="0"/>
    <xf numFmtId="0" fontId="24" fillId="0" borderId="22" xfId="0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17" fillId="2" borderId="0" xfId="0" applyFont="1" applyFill="1" applyAlignment="1">
      <alignment vertical="top" wrapText="1"/>
    </xf>
    <xf numFmtId="0" fontId="17" fillId="2" borderId="0" xfId="0" applyFont="1" applyFill="1" applyAlignment="1">
      <alignment wrapText="1"/>
    </xf>
    <xf numFmtId="0" fontId="1" fillId="0" borderId="0" xfId="0" applyFont="1" applyAlignment="1">
      <alignment vertical="center" wrapText="1"/>
    </xf>
    <xf numFmtId="0" fontId="18" fillId="0" borderId="22" xfId="0" applyFont="1" applyBorder="1" applyAlignment="1">
      <alignment horizontal="left" vertical="top" wrapText="1"/>
    </xf>
    <xf numFmtId="0" fontId="18" fillId="0" borderId="22" xfId="0" applyFont="1" applyBorder="1" applyAlignment="1">
      <alignment vertical="top" wrapText="1"/>
    </xf>
    <xf numFmtId="0" fontId="2" fillId="0" borderId="24" xfId="0" applyFont="1" applyBorder="1"/>
    <xf numFmtId="0" fontId="1" fillId="0" borderId="22" xfId="0" applyFont="1" applyBorder="1" applyAlignment="1">
      <alignment vertical="center" wrapText="1"/>
    </xf>
    <xf numFmtId="0" fontId="22" fillId="0" borderId="22" xfId="0" applyFont="1" applyBorder="1" applyAlignment="1">
      <alignment vertical="top" wrapText="1"/>
    </xf>
    <xf numFmtId="0" fontId="17" fillId="2" borderId="2" xfId="0" applyFont="1" applyFill="1" applyBorder="1" applyAlignment="1">
      <alignment vertical="top" wrapText="1"/>
    </xf>
    <xf numFmtId="0" fontId="22" fillId="2" borderId="0" xfId="0" applyFont="1" applyFill="1" applyAlignment="1">
      <alignment vertical="top" wrapText="1"/>
    </xf>
    <xf numFmtId="0" fontId="17" fillId="0" borderId="3" xfId="0" applyFont="1" applyBorder="1" applyAlignment="1">
      <alignment vertical="top" wrapText="1"/>
    </xf>
    <xf numFmtId="0" fontId="18" fillId="0" borderId="0" xfId="0" applyFont="1" applyFill="1" applyAlignment="1">
      <alignment vertical="top" wrapText="1"/>
    </xf>
    <xf numFmtId="0" fontId="17" fillId="0" borderId="2" xfId="0" applyFont="1" applyBorder="1" applyAlignment="1">
      <alignment horizontal="left" vertical="top"/>
    </xf>
    <xf numFmtId="0" fontId="31" fillId="0" borderId="0" xfId="0" applyFont="1" applyAlignment="1">
      <alignment wrapText="1"/>
    </xf>
    <xf numFmtId="0" fontId="31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31" fillId="2" borderId="0" xfId="0" applyFont="1" applyFill="1" applyAlignment="1">
      <alignment vertical="top" wrapText="1"/>
    </xf>
    <xf numFmtId="0" fontId="0" fillId="0" borderId="0" xfId="0"/>
    <xf numFmtId="0" fontId="2" fillId="0" borderId="22" xfId="0" applyFont="1" applyBorder="1" applyAlignment="1"/>
    <xf numFmtId="0" fontId="22" fillId="0" borderId="0" xfId="0" applyFont="1" applyAlignment="1">
      <alignment vertic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vertical="top" wrapText="1"/>
    </xf>
    <xf numFmtId="0" fontId="18" fillId="0" borderId="0" xfId="0" applyFont="1" applyBorder="1" applyAlignment="1">
      <alignment horizontal="left" vertical="top" wrapText="1"/>
    </xf>
    <xf numFmtId="0" fontId="18" fillId="0" borderId="0" xfId="0" applyFont="1" applyBorder="1" applyAlignment="1">
      <alignment vertical="top" wrapText="1"/>
    </xf>
    <xf numFmtId="0" fontId="22" fillId="0" borderId="0" xfId="0" applyFont="1"/>
    <xf numFmtId="0" fontId="2" fillId="0" borderId="2" xfId="0" applyFont="1" applyBorder="1" applyAlignment="1">
      <alignment vertical="top"/>
    </xf>
    <xf numFmtId="0" fontId="2" fillId="16" borderId="0" xfId="0" applyFont="1" applyFill="1"/>
    <xf numFmtId="0" fontId="0" fillId="16" borderId="0" xfId="0" applyFill="1"/>
    <xf numFmtId="0" fontId="18" fillId="0" borderId="0" xfId="0" applyFont="1" applyAlignment="1">
      <alignment vertical="top" wrapText="1"/>
    </xf>
    <xf numFmtId="0" fontId="34" fillId="12" borderId="22" xfId="0" applyFont="1" applyFill="1" applyBorder="1" applyAlignment="1">
      <alignment vertical="top" wrapText="1"/>
    </xf>
    <xf numFmtId="0" fontId="18" fillId="2" borderId="2" xfId="0" applyFont="1" applyFill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0" fillId="0" borderId="31" xfId="0" applyBorder="1"/>
    <xf numFmtId="0" fontId="0" fillId="0" borderId="22" xfId="0" applyBorder="1"/>
    <xf numFmtId="0" fontId="0" fillId="0" borderId="0" xfId="0"/>
    <xf numFmtId="0" fontId="0" fillId="0" borderId="0" xfId="0" applyFill="1" applyBorder="1"/>
    <xf numFmtId="0" fontId="32" fillId="13" borderId="0" xfId="0" applyFont="1" applyFill="1" applyAlignment="1">
      <alignment horizontal="center" vertical="center" wrapText="1"/>
    </xf>
    <xf numFmtId="0" fontId="32" fillId="13" borderId="28" xfId="0" applyFont="1" applyFill="1" applyBorder="1" applyAlignment="1">
      <alignment horizontal="center" vertical="center" wrapText="1"/>
    </xf>
    <xf numFmtId="0" fontId="33" fillId="14" borderId="0" xfId="0" applyFont="1" applyFill="1" applyAlignment="1">
      <alignment horizontal="center" wrapText="1"/>
    </xf>
    <xf numFmtId="0" fontId="0" fillId="15" borderId="29" xfId="0" applyFill="1" applyBorder="1" applyAlignment="1">
      <alignment vertical="top" wrapText="1"/>
    </xf>
    <xf numFmtId="0" fontId="0" fillId="15" borderId="30" xfId="0" applyFill="1" applyBorder="1" applyAlignment="1">
      <alignment vertical="top" wrapText="1"/>
    </xf>
    <xf numFmtId="0" fontId="2" fillId="6" borderId="18" xfId="0" applyFont="1" applyFill="1" applyBorder="1"/>
    <xf numFmtId="0" fontId="2" fillId="6" borderId="21" xfId="0" applyFont="1" applyFill="1" applyBorder="1"/>
    <xf numFmtId="1" fontId="2" fillId="0" borderId="14" xfId="0" applyNumberFormat="1" applyFont="1" applyBorder="1"/>
    <xf numFmtId="0" fontId="2" fillId="3" borderId="14" xfId="0" applyFont="1" applyFill="1" applyBorder="1"/>
    <xf numFmtId="0" fontId="2" fillId="0" borderId="14" xfId="0" applyFont="1" applyBorder="1"/>
    <xf numFmtId="0" fontId="35" fillId="6" borderId="18" xfId="0" applyFont="1" applyFill="1" applyBorder="1" applyAlignment="1">
      <alignment horizontal="left" vertical="top"/>
    </xf>
    <xf numFmtId="0" fontId="17" fillId="0" borderId="2" xfId="0" applyFont="1" applyFill="1" applyBorder="1" applyAlignment="1">
      <alignment vertical="top"/>
    </xf>
    <xf numFmtId="0" fontId="17" fillId="0" borderId="2" xfId="0" applyFont="1" applyBorder="1" applyAlignment="1">
      <alignment vertical="top"/>
    </xf>
    <xf numFmtId="0" fontId="9" fillId="0" borderId="22" xfId="0" applyFont="1" applyBorder="1" applyAlignment="1">
      <alignment horizontal="center" vertical="center" textRotation="90" wrapText="1"/>
    </xf>
    <xf numFmtId="0" fontId="0" fillId="0" borderId="22" xfId="0" applyBorder="1"/>
    <xf numFmtId="0" fontId="30" fillId="0" borderId="0" xfId="0" applyFont="1" applyAlignment="1">
      <alignment vertical="top" wrapText="1"/>
    </xf>
    <xf numFmtId="0" fontId="30" fillId="0" borderId="0" xfId="0" applyFont="1" applyAlignment="1">
      <alignment vertical="top"/>
    </xf>
    <xf numFmtId="0" fontId="18" fillId="0" borderId="22" xfId="0" applyFont="1" applyBorder="1" applyAlignment="1">
      <alignment horizontal="left" vertical="top" wrapText="1"/>
    </xf>
    <xf numFmtId="0" fontId="18" fillId="0" borderId="22" xfId="0" applyFont="1" applyBorder="1" applyAlignment="1">
      <alignment horizontal="left" vertical="top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3" fillId="7" borderId="7" xfId="0" applyFont="1" applyFill="1" applyBorder="1"/>
    <xf numFmtId="0" fontId="0" fillId="0" borderId="0" xfId="0"/>
    <xf numFmtId="0" fontId="0" fillId="0" borderId="21" xfId="0" applyBorder="1"/>
    <xf numFmtId="0" fontId="17" fillId="2" borderId="8" xfId="0" applyFont="1" applyFill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5" fillId="4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2" borderId="8" xfId="0" applyFont="1" applyFill="1" applyBorder="1" applyAlignment="1">
      <alignment vertical="top" wrapText="1"/>
    </xf>
    <xf numFmtId="0" fontId="29" fillId="4" borderId="7" xfId="0" applyFont="1" applyFill="1" applyBorder="1" applyAlignment="1">
      <alignment vertical="top" wrapText="1"/>
    </xf>
    <xf numFmtId="0" fontId="14" fillId="8" borderId="10" xfId="0" applyFont="1" applyFill="1" applyBorder="1" applyAlignment="1">
      <alignment horizontal="center"/>
    </xf>
    <xf numFmtId="0" fontId="0" fillId="0" borderId="14" xfId="0" applyBorder="1"/>
    <xf numFmtId="0" fontId="14" fillId="9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4" borderId="7" xfId="0" applyFont="1" applyFill="1" applyBorder="1" applyAlignment="1">
      <alignment vertical="top"/>
    </xf>
    <xf numFmtId="0" fontId="16" fillId="4" borderId="7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29" fillId="4" borderId="7" xfId="0" applyFont="1" applyFill="1" applyBorder="1" applyAlignment="1">
      <alignment vertical="top"/>
    </xf>
    <xf numFmtId="0" fontId="13" fillId="7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/>
          <a:lstStyle>
            <a:defPPr/>
            <a:lvl1pPr lvl="0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1pPr>
            <a:lvl2pPr lvl="1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2pPr>
            <a:lvl3pPr lvl="2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3pPr>
            <a:lvl4pPr lvl="3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4pPr>
            <a:lvl5pPr lvl="4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5pPr>
            <a:lvl6pPr lvl="5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6pPr>
            <a:lvl7pPr lvl="6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7pPr>
            <a:lvl8pPr lvl="7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8pPr>
            <a:lvl9pPr lvl="8">
              <a:defRPr sz="1700" b="0" i="0" strike="noStrike" spc="0" baseline="0">
                <a:solidFill>
                  <a:srgbClr val="19252E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ru-RU" sz="1800" b="1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Доли стилей (%)</a:t>
            </a:r>
            <a:endParaRPr lang="ru-RU" sz="1300" b="0" strike="noStrike">
              <a:latin typeface="Arial"/>
              <a:ea typeface="Arial"/>
              <a:cs typeface="Arial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  <a:prstDash val="solid"/>
            </a:ln>
          </c:spPr>
          <c:dPt>
            <c:idx val="1"/>
            <c:bubble3D val="0"/>
            <c:spPr>
              <a:solidFill>
                <a:srgbClr val="ED7D3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C9-4880-AAA3-75BB4BEB7E2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C9-4880-AAA3-75BB4BEB7E2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C9-4880-AAA3-75BB4BEB7E27}"/>
              </c:ext>
            </c:extLst>
          </c:dPt>
          <c:val>
            <c:numRef>
              <c:f>'Прототип отчета'!#REF!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'Прототип отчета'!#REF!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'Прототип отчета'!#REF!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2C9-4880-AAA3-75BB4BEB7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200" b="0" i="0" strike="noStrike" spc="0" baseline="0">
              <a:solidFill>
                <a:srgbClr val="19252E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0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362199" y="8658225"/>
    <xdr:ext cx="4560475" cy="252961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-fs.vdi.rt.gslb\Profiles_PR_01\Profiles\t.chertok\Desktop\&#1054;&#1087;&#1088;&#1086;&#1089;&#1085;&#1080;&#1082;%20&#1063;&#1048;&#1051;_V5.1_&#1087;&#1086;&#1089;&#1083;&#1077;%20&#1087;&#1080;&#1083;&#1086;&#1090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ест_в2"/>
      <sheetName val="Механика подсчета результатов"/>
      <sheetName val="Вводная часть отчета"/>
      <sheetName val="Все стили и профили"/>
      <sheetName val="Прототип отчета"/>
    </sheetNames>
    <sheetDataSet>
      <sheetData sheetId="0"/>
      <sheetData sheetId="1">
        <row r="2">
          <cell r="T2" t="str">
            <v>Целеустремленный</v>
          </cell>
          <cell r="U2" t="str">
            <v>Вдохновляющий</v>
          </cell>
          <cell r="V2" t="str">
            <v>Командный</v>
          </cell>
          <cell r="W2" t="str">
            <v>Процессный</v>
          </cell>
        </row>
        <row r="3">
          <cell r="T3">
            <v>39</v>
          </cell>
          <cell r="U3">
            <v>9</v>
          </cell>
          <cell r="V3">
            <v>8</v>
          </cell>
          <cell r="W3">
            <v>42</v>
          </cell>
          <cell r="Y3">
            <v>5</v>
          </cell>
          <cell r="Z3">
            <v>42</v>
          </cell>
          <cell r="AA3">
            <v>2</v>
          </cell>
          <cell r="AK3" t="str">
            <v>Целеустремленный</v>
          </cell>
          <cell r="AL3" t="str">
            <v>Процессный</v>
          </cell>
          <cell r="AM3" t="str">
            <v/>
          </cell>
          <cell r="AN3" t="str">
            <v/>
          </cell>
          <cell r="AO3">
            <v>-1</v>
          </cell>
          <cell r="AP3">
            <v>93</v>
          </cell>
          <cell r="AQ3">
            <v>82</v>
          </cell>
          <cell r="AR3">
            <v>-1</v>
          </cell>
          <cell r="AW3" t="str">
            <v/>
          </cell>
        </row>
      </sheetData>
      <sheetData sheetId="2">
        <row r="2">
          <cell r="A2" t="str">
            <v>Готово! Мы всё посчитали, ваш результат ниже.
Отчёт отображает результаты самодиагностики, полученные при прохождении теста. 
Ваш отчёт состоит из нескольких блоков:
- Введение
- Результаты
- Характеристика других стилей
- Рекомендации по развитию вашего стиля человекоцентричного лидерства</v>
          </cell>
        </row>
        <row r="4">
          <cell r="A4" t="str">
            <v>Инструмент «Тест на определение ведущего стиля человекоцентричного лидерства» помогает понять, как вы создаёте осмысленную, тёплую и результативную рабочую среду для людей в вашей команде.
Тест построен на базе:
- Модели человекоцентричного лидерства в "Ростелекоме"
- Классической двухфакторой модели руководства  Ренсиса Лайкерта ("Фокус на людей" и "Фокус на задачи")
- Теории контекстов взаимодействия в команде Рэймонда Белбина
Человекоцентричное лидерство — это подход к управлению, где в центре решений и внимания лидера всегда находится человек: сотрудник, коллега, клиент, партнёр.
Модель человекоцентричного лидерства опирается на четыре вектора: Культура, Лидер, Процессы и практики, Стратегия, и каждому вектору соответствует свой стиль лидерства.
Важно: тест не измеряет «уровень» или «индекс» человекоцентричности и не даёт оценочного вердикта. Его задача — помочь лидеру лучше понять особенности своего стиля управления и увидеть, в каких ситуациях этот стиль наиболее эффективен, а где полезно подключать другие подходы.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7"/>
  <sheetViews>
    <sheetView tabSelected="1" topLeftCell="A4" workbookViewId="0">
      <selection activeCell="B88" sqref="B88:B91"/>
    </sheetView>
  </sheetViews>
  <sheetFormatPr defaultColWidth="9.140625" defaultRowHeight="14.25" customHeight="1" x14ac:dyDescent="0.25"/>
  <cols>
    <col min="2" max="2" width="121.140625" style="40" customWidth="1"/>
    <col min="3" max="3" width="22.28515625" style="40" customWidth="1"/>
    <col min="4" max="4" width="21.28515625" style="40" customWidth="1"/>
    <col min="5" max="5" width="21.7109375" style="40" customWidth="1"/>
  </cols>
  <sheetData>
    <row r="1" spans="1:36" ht="308.25" customHeight="1" x14ac:dyDescent="0.25">
      <c r="A1" s="23"/>
      <c r="B1" s="87" t="s">
        <v>192</v>
      </c>
      <c r="C1" s="74"/>
      <c r="D1" s="5"/>
      <c r="E1" s="6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23"/>
      <c r="AF1" s="23"/>
      <c r="AG1" s="23"/>
      <c r="AH1" s="23"/>
      <c r="AI1" s="23"/>
      <c r="AJ1" s="23"/>
    </row>
    <row r="2" spans="1:36" ht="69" customHeight="1" x14ac:dyDescent="0.25">
      <c r="A2" s="23"/>
      <c r="B2" s="66" t="s">
        <v>8</v>
      </c>
      <c r="C2" s="23"/>
      <c r="D2" s="7"/>
      <c r="E2" s="8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23"/>
      <c r="AF2" s="23"/>
      <c r="AG2" s="23"/>
      <c r="AH2" s="23"/>
      <c r="AI2" s="23"/>
      <c r="AJ2" s="23"/>
    </row>
    <row r="3" spans="1:36" ht="140.44999999999999" customHeight="1" x14ac:dyDescent="0.25">
      <c r="A3" s="23"/>
      <c r="B3" s="88" t="s">
        <v>188</v>
      </c>
      <c r="C3" s="23"/>
      <c r="D3" s="23"/>
      <c r="E3" s="23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23"/>
      <c r="AF3" s="23"/>
      <c r="AG3" s="23"/>
      <c r="AH3" s="23"/>
      <c r="AI3" s="23"/>
      <c r="AJ3" s="23"/>
    </row>
    <row r="4" spans="1:36" ht="55.5" customHeight="1" x14ac:dyDescent="0.25">
      <c r="A4" s="23"/>
      <c r="B4" s="10"/>
      <c r="C4" s="23" t="s">
        <v>9</v>
      </c>
      <c r="D4" s="7"/>
      <c r="E4" s="23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23"/>
      <c r="AF4" s="23"/>
      <c r="AG4" s="23"/>
      <c r="AH4" s="23"/>
      <c r="AI4" s="23"/>
      <c r="AJ4" s="23"/>
    </row>
    <row r="5" spans="1:36" ht="57" customHeight="1" x14ac:dyDescent="0.25">
      <c r="A5" s="23"/>
      <c r="B5" s="13"/>
      <c r="C5" s="23"/>
      <c r="D5" s="15"/>
      <c r="E5" s="23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23"/>
      <c r="AF5" s="23"/>
      <c r="AG5" s="23"/>
      <c r="AH5" s="23"/>
      <c r="AI5" s="23"/>
      <c r="AJ5" s="23"/>
    </row>
    <row r="6" spans="1:36" ht="15" customHeight="1" x14ac:dyDescent="0.25">
      <c r="A6" s="23"/>
      <c r="B6" s="23"/>
      <c r="C6" s="23"/>
      <c r="D6" s="23"/>
      <c r="E6" s="23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23"/>
      <c r="AF6" s="23"/>
      <c r="AG6" s="23"/>
      <c r="AH6" s="23"/>
      <c r="AI6" s="23"/>
      <c r="AJ6" s="23"/>
    </row>
    <row r="7" spans="1:36" ht="124.35" customHeight="1" x14ac:dyDescent="0.25">
      <c r="A7" s="19"/>
      <c r="B7" s="21" t="s">
        <v>0</v>
      </c>
      <c r="C7" s="68" t="s">
        <v>10</v>
      </c>
      <c r="D7" s="22" t="s">
        <v>11</v>
      </c>
      <c r="E7" s="67" t="s">
        <v>148</v>
      </c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23"/>
      <c r="AF7" s="23"/>
      <c r="AG7" s="23"/>
      <c r="AH7" s="23"/>
      <c r="AI7" s="23"/>
      <c r="AJ7" s="23"/>
    </row>
    <row r="8" spans="1:36" ht="28.5" customHeight="1" x14ac:dyDescent="0.25">
      <c r="B8" s="18" t="s">
        <v>12</v>
      </c>
      <c r="D8" s="17" t="s">
        <v>13</v>
      </c>
      <c r="E8" s="23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23"/>
      <c r="AF8" s="23"/>
      <c r="AG8" s="23"/>
      <c r="AH8" s="23"/>
      <c r="AI8" s="23"/>
      <c r="AJ8" s="23"/>
    </row>
    <row r="9" spans="1:36" ht="54.75" customHeight="1" x14ac:dyDescent="0.25">
      <c r="A9" s="24">
        <v>1</v>
      </c>
      <c r="B9" s="36" t="s">
        <v>14</v>
      </c>
      <c r="C9" s="25"/>
      <c r="D9" s="23" t="str">
        <f>IF(SUM(C10:C13)&gt;7, "Вы использовали все баллы", IF(SUM(C10:C13)&lt;7, "Вы использовали не все баллы", ""))</f>
        <v/>
      </c>
      <c r="E9" s="23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23"/>
      <c r="AF9" s="23"/>
      <c r="AG9" s="23"/>
      <c r="AH9" s="23"/>
      <c r="AI9" s="23"/>
      <c r="AJ9" s="23"/>
    </row>
    <row r="10" spans="1:36" ht="15" customHeight="1" x14ac:dyDescent="0.25">
      <c r="A10" s="26" t="s">
        <v>2</v>
      </c>
      <c r="B10" s="27" t="s">
        <v>15</v>
      </c>
      <c r="C10" s="101">
        <v>3</v>
      </c>
      <c r="D10" s="22" t="str">
        <f>"Осталось: "&amp;7-SUM(C10:C13)&amp;" из 7"</f>
        <v>Осталось: 0 из 7</v>
      </c>
      <c r="E10" s="4" t="s">
        <v>16</v>
      </c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23"/>
      <c r="AF10" s="23"/>
      <c r="AG10" s="23"/>
      <c r="AH10" s="23"/>
      <c r="AI10" s="23"/>
      <c r="AJ10" s="23"/>
    </row>
    <row r="11" spans="1:36" ht="15" customHeight="1" x14ac:dyDescent="0.25">
      <c r="A11" s="26" t="s">
        <v>3</v>
      </c>
      <c r="B11" s="28" t="s">
        <v>17</v>
      </c>
      <c r="C11" s="101"/>
      <c r="D11" s="23"/>
      <c r="E11" s="4" t="s">
        <v>18</v>
      </c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23"/>
      <c r="AF11" s="23"/>
      <c r="AG11" s="23"/>
      <c r="AH11" s="23"/>
      <c r="AI11" s="23"/>
      <c r="AJ11" s="23"/>
    </row>
    <row r="12" spans="1:36" ht="22.5" customHeight="1" x14ac:dyDescent="0.25">
      <c r="A12" s="26" t="s">
        <v>4</v>
      </c>
      <c r="B12" s="70" t="s">
        <v>194</v>
      </c>
      <c r="C12" s="101">
        <v>1</v>
      </c>
      <c r="D12" s="23"/>
      <c r="E12" s="4" t="s">
        <v>19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23"/>
      <c r="AF12" s="23"/>
      <c r="AG12" s="23"/>
      <c r="AH12" s="23"/>
      <c r="AI12" s="23"/>
      <c r="AJ12" s="23"/>
    </row>
    <row r="13" spans="1:36" ht="24.75" customHeight="1" x14ac:dyDescent="0.25">
      <c r="A13" s="26" t="s">
        <v>5</v>
      </c>
      <c r="B13" s="28" t="s">
        <v>195</v>
      </c>
      <c r="C13" s="101">
        <v>3</v>
      </c>
      <c r="D13" s="23"/>
      <c r="E13" s="4" t="s">
        <v>20</v>
      </c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23"/>
      <c r="AF13" s="23"/>
      <c r="AG13" s="23"/>
      <c r="AH13" s="23"/>
      <c r="AI13" s="23"/>
      <c r="AJ13" s="23"/>
    </row>
    <row r="14" spans="1:36" ht="28.5" customHeight="1" x14ac:dyDescent="0.25">
      <c r="A14" s="23"/>
      <c r="B14" s="19" t="s">
        <v>21</v>
      </c>
      <c r="C14" s="23"/>
      <c r="D14" s="17" t="s">
        <v>13</v>
      </c>
      <c r="E14" s="2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23"/>
      <c r="AF14" s="23"/>
      <c r="AG14" s="23"/>
      <c r="AH14" s="23"/>
      <c r="AI14" s="23"/>
      <c r="AJ14" s="23"/>
    </row>
    <row r="15" spans="1:36" ht="15" customHeight="1" x14ac:dyDescent="0.25">
      <c r="A15" s="3">
        <v>2</v>
      </c>
      <c r="B15" s="35" t="s">
        <v>22</v>
      </c>
      <c r="C15" s="102"/>
      <c r="D15" s="15" t="str">
        <f>IF(SUM(C16:C19)&gt;7, "Вы использовали все баллы", IF(SUM(C16:C19)&lt;7, "Вы использовали не все баллы", ""))</f>
        <v/>
      </c>
      <c r="E15" s="23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23"/>
      <c r="AF15" s="23"/>
      <c r="AG15" s="23"/>
      <c r="AH15" s="23"/>
      <c r="AI15" s="23"/>
      <c r="AJ15" s="23"/>
    </row>
    <row r="16" spans="1:36" ht="15" customHeight="1" x14ac:dyDescent="0.25">
      <c r="A16" s="2" t="s">
        <v>2</v>
      </c>
      <c r="B16" s="28" t="s">
        <v>23</v>
      </c>
      <c r="C16" s="101">
        <v>3</v>
      </c>
      <c r="D16" s="9" t="str">
        <f>"Осталось: "&amp;7-SUM(C16:C19)&amp;" из 7"</f>
        <v>Осталось: 0 из 7</v>
      </c>
      <c r="E16" s="4" t="s">
        <v>20</v>
      </c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23"/>
      <c r="AF16" s="23"/>
      <c r="AG16" s="23"/>
      <c r="AH16" s="23"/>
      <c r="AI16" s="23"/>
      <c r="AJ16" s="23"/>
    </row>
    <row r="17" spans="1:36" ht="30" customHeight="1" x14ac:dyDescent="0.25">
      <c r="A17" s="2" t="s">
        <v>3</v>
      </c>
      <c r="B17" s="27" t="s">
        <v>24</v>
      </c>
      <c r="C17" s="101">
        <v>3</v>
      </c>
      <c r="D17" s="23"/>
      <c r="E17" s="4" t="s">
        <v>16</v>
      </c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23"/>
      <c r="AF17" s="23"/>
      <c r="AG17" s="23"/>
      <c r="AH17" s="23"/>
      <c r="AI17" s="23"/>
      <c r="AJ17" s="23"/>
    </row>
    <row r="18" spans="1:36" ht="31.5" customHeight="1" x14ac:dyDescent="0.25">
      <c r="A18" s="2" t="s">
        <v>4</v>
      </c>
      <c r="B18" s="28" t="s">
        <v>177</v>
      </c>
      <c r="C18" s="101"/>
      <c r="D18" s="23"/>
      <c r="E18" s="4" t="s">
        <v>18</v>
      </c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23"/>
      <c r="AF18" s="23"/>
      <c r="AG18" s="23"/>
      <c r="AH18" s="23"/>
      <c r="AI18" s="23"/>
      <c r="AJ18" s="23"/>
    </row>
    <row r="19" spans="1:36" ht="29.25" customHeight="1" x14ac:dyDescent="0.25">
      <c r="A19" s="2" t="s">
        <v>5</v>
      </c>
      <c r="B19" s="28" t="s">
        <v>178</v>
      </c>
      <c r="C19" s="101">
        <v>1</v>
      </c>
      <c r="D19" s="23"/>
      <c r="E19" s="4" t="s">
        <v>19</v>
      </c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23"/>
      <c r="AF19" s="23"/>
      <c r="AG19" s="23"/>
      <c r="AH19" s="23"/>
      <c r="AI19" s="23"/>
      <c r="AJ19" s="23"/>
    </row>
    <row r="20" spans="1:36" s="23" customFormat="1" ht="28.5" customHeight="1" x14ac:dyDescent="0.25">
      <c r="B20" s="20" t="s">
        <v>25</v>
      </c>
      <c r="D20" s="17" t="s">
        <v>13</v>
      </c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</row>
    <row r="21" spans="1:36" ht="15" customHeight="1" x14ac:dyDescent="0.25">
      <c r="A21" s="3">
        <v>3</v>
      </c>
      <c r="B21" s="29" t="s">
        <v>26</v>
      </c>
      <c r="C21" s="103"/>
      <c r="D21" s="23" t="str">
        <f>IF(SUM(C22:C25)&gt;7, "Вы использовали все баллы", IF(SUM(C22:C25)&lt;7, "Вы использовали не все баллы", ""))</f>
        <v/>
      </c>
      <c r="E21" s="23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23"/>
      <c r="AF21" s="23"/>
      <c r="AG21" s="23"/>
      <c r="AH21" s="23"/>
      <c r="AI21" s="23"/>
      <c r="AJ21" s="23"/>
    </row>
    <row r="22" spans="1:36" ht="15" customHeight="1" x14ac:dyDescent="0.25">
      <c r="A22" s="2" t="s">
        <v>2</v>
      </c>
      <c r="B22" s="41" t="s">
        <v>27</v>
      </c>
      <c r="C22" s="101"/>
      <c r="D22" s="9" t="str">
        <f>"Осталось: "&amp;7-SUM(C22:C25)&amp;" из 7"</f>
        <v>Осталось: 0 из 7</v>
      </c>
      <c r="E22" s="4" t="s">
        <v>18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23"/>
      <c r="AF22" s="23"/>
      <c r="AG22" s="23"/>
      <c r="AH22" s="23"/>
      <c r="AI22" s="23"/>
      <c r="AJ22" s="23"/>
    </row>
    <row r="23" spans="1:36" ht="15" customHeight="1" x14ac:dyDescent="0.25">
      <c r="A23" s="2" t="s">
        <v>3</v>
      </c>
      <c r="B23" s="41" t="s">
        <v>28</v>
      </c>
      <c r="C23" s="101">
        <v>3</v>
      </c>
      <c r="D23" s="23"/>
      <c r="E23" s="4" t="s">
        <v>16</v>
      </c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23"/>
      <c r="AF23" s="23"/>
      <c r="AG23" s="23"/>
      <c r="AH23" s="23"/>
      <c r="AI23" s="23"/>
      <c r="AJ23" s="23"/>
    </row>
    <row r="24" spans="1:36" ht="15" customHeight="1" x14ac:dyDescent="0.25">
      <c r="A24" s="2" t="s">
        <v>4</v>
      </c>
      <c r="B24" s="42" t="s">
        <v>29</v>
      </c>
      <c r="C24" s="101">
        <v>3</v>
      </c>
      <c r="D24" s="23"/>
      <c r="E24" s="4" t="s">
        <v>20</v>
      </c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23"/>
      <c r="AF24" s="23"/>
      <c r="AG24" s="23"/>
      <c r="AH24" s="23"/>
      <c r="AI24" s="23"/>
      <c r="AJ24" s="23"/>
    </row>
    <row r="25" spans="1:36" ht="18" customHeight="1" x14ac:dyDescent="0.25">
      <c r="A25" s="2" t="s">
        <v>5</v>
      </c>
      <c r="B25" s="28" t="s">
        <v>179</v>
      </c>
      <c r="C25" s="101">
        <v>1</v>
      </c>
      <c r="D25" s="23"/>
      <c r="E25" s="4" t="s">
        <v>19</v>
      </c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23"/>
      <c r="AF25" s="23"/>
      <c r="AG25" s="23"/>
      <c r="AH25" s="23"/>
      <c r="AI25" s="23"/>
      <c r="AJ25" s="23"/>
    </row>
    <row r="26" spans="1:36" s="23" customFormat="1" ht="28.5" customHeight="1" x14ac:dyDescent="0.25">
      <c r="B26" s="20" t="s">
        <v>30</v>
      </c>
      <c r="D26" s="17" t="s">
        <v>13</v>
      </c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</row>
    <row r="27" spans="1:36" ht="15" customHeight="1" x14ac:dyDescent="0.25">
      <c r="A27" s="3">
        <v>4</v>
      </c>
      <c r="B27" s="35" t="s">
        <v>31</v>
      </c>
      <c r="C27" s="103"/>
      <c r="D27" s="23" t="str">
        <f>IF(SUM(C28:C31)&gt;7, "Вы использовали все баллы", IF(SUM(C28:C31)&lt;7, "Вы использовали не все баллы", ""))</f>
        <v/>
      </c>
      <c r="E27" s="23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23"/>
      <c r="AF27" s="23"/>
      <c r="AG27" s="23"/>
      <c r="AH27" s="23"/>
      <c r="AI27" s="23"/>
      <c r="AJ27" s="23"/>
    </row>
    <row r="28" spans="1:36" ht="30.75" customHeight="1" x14ac:dyDescent="0.25">
      <c r="A28" s="2" t="s">
        <v>2</v>
      </c>
      <c r="B28" s="18" t="s">
        <v>196</v>
      </c>
      <c r="C28" s="101"/>
      <c r="D28" s="23" t="str">
        <f>"Осталось: "&amp;7-SUM(C28:C31)&amp;" из 7"</f>
        <v>Осталось: 0 из 7</v>
      </c>
      <c r="E28" s="4" t="s">
        <v>19</v>
      </c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23"/>
      <c r="AF28" s="23"/>
      <c r="AG28" s="23"/>
      <c r="AH28" s="23"/>
      <c r="AI28" s="23"/>
      <c r="AJ28" s="23"/>
    </row>
    <row r="29" spans="1:36" ht="23.25" customHeight="1" x14ac:dyDescent="0.25">
      <c r="A29" s="2" t="s">
        <v>3</v>
      </c>
      <c r="B29" s="18" t="s">
        <v>180</v>
      </c>
      <c r="C29" s="101">
        <v>3</v>
      </c>
      <c r="D29" s="23"/>
      <c r="E29" s="4" t="s">
        <v>20</v>
      </c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23"/>
      <c r="AF29" s="23"/>
      <c r="AG29" s="23"/>
      <c r="AH29" s="23"/>
      <c r="AI29" s="23"/>
      <c r="AJ29" s="23"/>
    </row>
    <row r="30" spans="1:36" ht="15" customHeight="1" x14ac:dyDescent="0.25">
      <c r="A30" s="2" t="s">
        <v>4</v>
      </c>
      <c r="B30" s="18" t="s">
        <v>32</v>
      </c>
      <c r="C30" s="101">
        <v>3</v>
      </c>
      <c r="D30" s="23"/>
      <c r="E30" s="4" t="s">
        <v>16</v>
      </c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23"/>
      <c r="AF30" s="23"/>
      <c r="AG30" s="23"/>
      <c r="AH30" s="23"/>
      <c r="AI30" s="23"/>
      <c r="AJ30" s="23"/>
    </row>
    <row r="31" spans="1:36" ht="15" customHeight="1" x14ac:dyDescent="0.25">
      <c r="A31" s="2" t="s">
        <v>5</v>
      </c>
      <c r="B31" s="18" t="s">
        <v>33</v>
      </c>
      <c r="C31" s="101">
        <v>1</v>
      </c>
      <c r="D31" s="23"/>
      <c r="E31" s="4" t="s">
        <v>18</v>
      </c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23"/>
      <c r="AF31" s="23"/>
      <c r="AG31" s="23"/>
      <c r="AH31" s="23"/>
      <c r="AI31" s="23"/>
      <c r="AJ31" s="23"/>
    </row>
    <row r="32" spans="1:36" s="23" customFormat="1" ht="28.5" customHeight="1" x14ac:dyDescent="0.25">
      <c r="B32" s="20" t="s">
        <v>34</v>
      </c>
      <c r="D32" s="17" t="s">
        <v>13</v>
      </c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</row>
    <row r="33" spans="1:36" ht="15" customHeight="1" x14ac:dyDescent="0.25">
      <c r="A33" s="3">
        <v>5</v>
      </c>
      <c r="B33" s="29" t="s">
        <v>35</v>
      </c>
      <c r="C33" s="103"/>
      <c r="D33" s="23" t="str">
        <f>IF(SUM(C34:C37)&gt;7, "Вы использовали все баллы", IF(SUM(C34:C37)&lt;7, "Вы использовали не все баллы", ""))</f>
        <v/>
      </c>
      <c r="E33" s="23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23"/>
      <c r="AF33" s="23"/>
      <c r="AG33" s="23"/>
      <c r="AH33" s="23"/>
      <c r="AI33" s="23"/>
      <c r="AJ33" s="23"/>
    </row>
    <row r="34" spans="1:36" ht="15" customHeight="1" x14ac:dyDescent="0.25">
      <c r="A34" s="2" t="s">
        <v>2</v>
      </c>
      <c r="B34" s="18" t="s">
        <v>36</v>
      </c>
      <c r="C34" s="101"/>
      <c r="D34" s="9" t="str">
        <f>"Осталось: "&amp;7-SUM(C34:C37)&amp;" из 7"</f>
        <v>Осталось: 0 из 7</v>
      </c>
      <c r="E34" s="4" t="s">
        <v>18</v>
      </c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23"/>
      <c r="AF34" s="23"/>
      <c r="AG34" s="23"/>
      <c r="AH34" s="23"/>
      <c r="AI34" s="23"/>
      <c r="AJ34" s="23"/>
    </row>
    <row r="35" spans="1:36" ht="15" customHeight="1" x14ac:dyDescent="0.25">
      <c r="A35" s="2" t="s">
        <v>3</v>
      </c>
      <c r="B35" s="18" t="s">
        <v>37</v>
      </c>
      <c r="C35" s="101">
        <v>1</v>
      </c>
      <c r="D35" s="23"/>
      <c r="E35" s="4" t="s">
        <v>19</v>
      </c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23"/>
      <c r="AF35" s="23"/>
      <c r="AG35" s="23"/>
      <c r="AH35" s="23"/>
      <c r="AI35" s="23"/>
      <c r="AJ35" s="23"/>
    </row>
    <row r="36" spans="1:36" ht="15" customHeight="1" x14ac:dyDescent="0.25">
      <c r="A36" s="2" t="s">
        <v>4</v>
      </c>
      <c r="B36" s="18" t="s">
        <v>38</v>
      </c>
      <c r="C36" s="101">
        <v>3</v>
      </c>
      <c r="D36" s="23"/>
      <c r="E36" s="4" t="s">
        <v>20</v>
      </c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23"/>
      <c r="AF36" s="23"/>
      <c r="AG36" s="23"/>
      <c r="AH36" s="23"/>
      <c r="AI36" s="23"/>
      <c r="AJ36" s="23"/>
    </row>
    <row r="37" spans="1:36" ht="49.5" customHeight="1" x14ac:dyDescent="0.25">
      <c r="A37" s="2" t="s">
        <v>5</v>
      </c>
      <c r="B37" s="83" t="s">
        <v>181</v>
      </c>
      <c r="C37" s="101">
        <v>3</v>
      </c>
      <c r="D37" s="23"/>
      <c r="E37" s="4" t="s">
        <v>16</v>
      </c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23"/>
      <c r="AF37" s="23"/>
      <c r="AG37" s="23"/>
      <c r="AH37" s="23"/>
      <c r="AI37" s="23"/>
      <c r="AJ37" s="23"/>
    </row>
    <row r="38" spans="1:36" s="23" customFormat="1" ht="28.5" customHeight="1" x14ac:dyDescent="0.25">
      <c r="B38" s="20" t="s">
        <v>39</v>
      </c>
      <c r="D38" s="17" t="s">
        <v>13</v>
      </c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</row>
    <row r="39" spans="1:36" ht="15" customHeight="1" x14ac:dyDescent="0.25">
      <c r="A39" s="3">
        <v>6</v>
      </c>
      <c r="B39" s="35" t="s">
        <v>40</v>
      </c>
      <c r="C39" s="103"/>
      <c r="D39" s="23" t="str">
        <f>IF(SUM(C40:C43)&gt;7, "Вы использовали все баллы", IF(SUM(C40:C43)&lt;7, "Вы использовали не все баллы", ""))</f>
        <v/>
      </c>
      <c r="E39" s="23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23"/>
      <c r="AF39" s="23"/>
      <c r="AG39" s="23"/>
      <c r="AH39" s="23"/>
      <c r="AI39" s="23"/>
      <c r="AJ39" s="23"/>
    </row>
    <row r="40" spans="1:36" ht="15" customHeight="1" x14ac:dyDescent="0.25">
      <c r="A40" s="2" t="s">
        <v>2</v>
      </c>
      <c r="B40" s="18" t="s">
        <v>41</v>
      </c>
      <c r="C40" s="101"/>
      <c r="D40" s="9" t="str">
        <f>"Осталось: "&amp;7-SUM(C40:C43)&amp;" из 7"</f>
        <v>Осталось: 0 из 7</v>
      </c>
      <c r="E40" s="4" t="s">
        <v>19</v>
      </c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23"/>
      <c r="AF40" s="23"/>
      <c r="AG40" s="23"/>
      <c r="AH40" s="23"/>
      <c r="AI40" s="23"/>
      <c r="AJ40" s="23"/>
    </row>
    <row r="41" spans="1:36" ht="15" customHeight="1" x14ac:dyDescent="0.25">
      <c r="A41" s="2" t="s">
        <v>3</v>
      </c>
      <c r="B41" s="18" t="s">
        <v>42</v>
      </c>
      <c r="C41" s="101">
        <v>3</v>
      </c>
      <c r="D41" s="23"/>
      <c r="E41" s="4" t="s">
        <v>20</v>
      </c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23"/>
      <c r="AF41" s="23"/>
      <c r="AG41" s="23"/>
      <c r="AH41" s="23"/>
      <c r="AI41" s="23"/>
      <c r="AJ41" s="23"/>
    </row>
    <row r="42" spans="1:36" ht="30.75" customHeight="1" x14ac:dyDescent="0.25">
      <c r="A42" s="2" t="s">
        <v>4</v>
      </c>
      <c r="B42" s="18" t="s">
        <v>43</v>
      </c>
      <c r="C42" s="101">
        <v>3</v>
      </c>
      <c r="D42" s="23"/>
      <c r="E42" s="4" t="s">
        <v>16</v>
      </c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23"/>
      <c r="AF42" s="23"/>
      <c r="AG42" s="23"/>
      <c r="AH42" s="23"/>
      <c r="AI42" s="23"/>
      <c r="AJ42" s="23"/>
    </row>
    <row r="43" spans="1:36" ht="15" customHeight="1" x14ac:dyDescent="0.25">
      <c r="A43" s="2" t="s">
        <v>5</v>
      </c>
      <c r="B43" s="34" t="s">
        <v>44</v>
      </c>
      <c r="C43" s="101">
        <v>1</v>
      </c>
      <c r="D43" s="23"/>
      <c r="E43" s="4" t="s">
        <v>18</v>
      </c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23"/>
      <c r="AF43" s="23"/>
      <c r="AG43" s="23"/>
      <c r="AH43" s="23"/>
      <c r="AI43" s="23"/>
      <c r="AJ43" s="23"/>
    </row>
    <row r="44" spans="1:36" ht="28.5" customHeight="1" x14ac:dyDescent="0.25">
      <c r="B44" s="18" t="s">
        <v>45</v>
      </c>
      <c r="C44" s="92"/>
      <c r="D44" s="45" t="s">
        <v>13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6" ht="15" customHeight="1" x14ac:dyDescent="0.25">
      <c r="A45" s="3">
        <v>7</v>
      </c>
      <c r="B45" s="29" t="s">
        <v>46</v>
      </c>
      <c r="C45" s="103"/>
      <c r="D45" s="23" t="str">
        <f>IF(SUM(C46:C49)&gt;7, "Вы использовали все баллы", IF(SUM(C46:C49)&lt;7, "Вы использовали не все баллы", ""))</f>
        <v/>
      </c>
      <c r="E45" s="23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23"/>
      <c r="AF45" s="23"/>
      <c r="AG45" s="23"/>
      <c r="AH45" s="23"/>
      <c r="AI45" s="23"/>
      <c r="AJ45" s="23"/>
    </row>
    <row r="46" spans="1:36" ht="15" customHeight="1" x14ac:dyDescent="0.25">
      <c r="A46" s="2" t="s">
        <v>2</v>
      </c>
      <c r="B46" s="18" t="s">
        <v>47</v>
      </c>
      <c r="C46" s="101">
        <v>3</v>
      </c>
      <c r="D46" s="9" t="str">
        <f>"Осталось: "&amp;7-SUM(C46:C49)&amp;" из 7"</f>
        <v>Осталось: 0 из 7</v>
      </c>
      <c r="E46" s="4" t="s">
        <v>16</v>
      </c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23"/>
      <c r="AF46" s="23"/>
      <c r="AG46" s="23"/>
      <c r="AH46" s="23"/>
      <c r="AI46" s="23"/>
      <c r="AJ46" s="23"/>
    </row>
    <row r="47" spans="1:36" ht="15" customHeight="1" x14ac:dyDescent="0.25">
      <c r="A47" s="2" t="s">
        <v>3</v>
      </c>
      <c r="B47" s="18" t="s">
        <v>48</v>
      </c>
      <c r="C47" s="101">
        <v>1</v>
      </c>
      <c r="D47" s="23"/>
      <c r="E47" s="4" t="s">
        <v>18</v>
      </c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23"/>
      <c r="AF47" s="23"/>
      <c r="AG47" s="23"/>
      <c r="AH47" s="23"/>
      <c r="AI47" s="23"/>
      <c r="AJ47" s="23"/>
    </row>
    <row r="48" spans="1:36" ht="52.5" customHeight="1" x14ac:dyDescent="0.25">
      <c r="A48" s="2" t="s">
        <v>4</v>
      </c>
      <c r="B48" s="18" t="s">
        <v>182</v>
      </c>
      <c r="C48" s="101"/>
      <c r="D48" s="23"/>
      <c r="E48" s="4" t="s">
        <v>19</v>
      </c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23"/>
      <c r="AF48" s="23"/>
      <c r="AG48" s="23"/>
      <c r="AH48" s="23"/>
      <c r="AI48" s="23"/>
      <c r="AJ48" s="23"/>
    </row>
    <row r="49" spans="1:36" ht="15" customHeight="1" x14ac:dyDescent="0.25">
      <c r="A49" s="2" t="s">
        <v>5</v>
      </c>
      <c r="B49" s="18" t="s">
        <v>49</v>
      </c>
      <c r="C49" s="101">
        <v>3</v>
      </c>
      <c r="D49" s="23"/>
      <c r="E49" s="4" t="s">
        <v>20</v>
      </c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23"/>
      <c r="AF49" s="23"/>
      <c r="AG49" s="23"/>
      <c r="AH49" s="23"/>
      <c r="AI49" s="23"/>
      <c r="AJ49" s="23"/>
    </row>
    <row r="50" spans="1:36" s="23" customFormat="1" ht="28.5" customHeight="1" x14ac:dyDescent="0.25">
      <c r="B50" s="19" t="s">
        <v>50</v>
      </c>
      <c r="D50" s="17" t="s">
        <v>13</v>
      </c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</row>
    <row r="51" spans="1:36" ht="15" customHeight="1" x14ac:dyDescent="0.25">
      <c r="A51" s="3">
        <v>8</v>
      </c>
      <c r="B51" s="37" t="s">
        <v>51</v>
      </c>
      <c r="C51" s="103"/>
      <c r="D51" s="23" t="str">
        <f>IF(SUM(C52:C55)&gt;7, "Вы использовали все баллы", IF(SUM(C52:C55)&lt;7, "Вы использовали не все баллы", ""))</f>
        <v/>
      </c>
      <c r="E51" s="23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23"/>
      <c r="AF51" s="23"/>
      <c r="AG51" s="23"/>
      <c r="AH51" s="23"/>
      <c r="AI51" s="23"/>
      <c r="AJ51" s="23"/>
    </row>
    <row r="52" spans="1:36" ht="15" customHeight="1" x14ac:dyDescent="0.25">
      <c r="A52" s="2" t="s">
        <v>2</v>
      </c>
      <c r="B52" s="18" t="s">
        <v>52</v>
      </c>
      <c r="C52" s="101"/>
      <c r="D52" s="9" t="str">
        <f>"Осталось: "&amp;7-SUM(C52:C55)&amp;" из 7"</f>
        <v>Осталось: 0 из 7</v>
      </c>
      <c r="E52" s="4" t="s">
        <v>18</v>
      </c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23"/>
      <c r="AF52" s="23"/>
      <c r="AG52" s="23"/>
      <c r="AH52" s="23"/>
      <c r="AI52" s="23"/>
      <c r="AJ52" s="23"/>
    </row>
    <row r="53" spans="1:36" ht="15" customHeight="1" x14ac:dyDescent="0.25">
      <c r="A53" s="2" t="s">
        <v>3</v>
      </c>
      <c r="B53" s="18" t="s">
        <v>53</v>
      </c>
      <c r="C53" s="101">
        <v>1</v>
      </c>
      <c r="D53" s="23"/>
      <c r="E53" s="4" t="s">
        <v>19</v>
      </c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23"/>
      <c r="AF53" s="23"/>
      <c r="AG53" s="23"/>
      <c r="AH53" s="23"/>
      <c r="AI53" s="23"/>
      <c r="AJ53" s="23"/>
    </row>
    <row r="54" spans="1:36" ht="15" customHeight="1" x14ac:dyDescent="0.25">
      <c r="A54" s="2" t="s">
        <v>4</v>
      </c>
      <c r="B54" s="18" t="s">
        <v>54</v>
      </c>
      <c r="C54" s="101">
        <v>3</v>
      </c>
      <c r="D54" s="23"/>
      <c r="E54" s="4" t="s">
        <v>55</v>
      </c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23"/>
      <c r="AF54" s="23"/>
      <c r="AG54" s="23"/>
      <c r="AH54" s="23"/>
      <c r="AI54" s="23"/>
      <c r="AJ54" s="23"/>
    </row>
    <row r="55" spans="1:36" ht="30.75" customHeight="1" x14ac:dyDescent="0.25">
      <c r="A55" s="2" t="s">
        <v>5</v>
      </c>
      <c r="B55" s="106" t="s">
        <v>197</v>
      </c>
      <c r="C55" s="101">
        <v>3</v>
      </c>
      <c r="D55" s="23"/>
      <c r="E55" s="4" t="s">
        <v>16</v>
      </c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23"/>
      <c r="AF55" s="23"/>
      <c r="AG55" s="23"/>
      <c r="AH55" s="23"/>
      <c r="AI55" s="23"/>
      <c r="AJ55" s="23"/>
    </row>
    <row r="56" spans="1:36" ht="28.5" customHeight="1" x14ac:dyDescent="0.25">
      <c r="B56" s="18" t="s">
        <v>56</v>
      </c>
      <c r="C56" s="92"/>
      <c r="D56" s="45" t="s">
        <v>13</v>
      </c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6" ht="15" customHeight="1" x14ac:dyDescent="0.25">
      <c r="A57" s="3">
        <v>9</v>
      </c>
      <c r="B57" s="29" t="s">
        <v>57</v>
      </c>
      <c r="C57" s="103"/>
      <c r="D57" s="23" t="str">
        <f>IF(SUM(C58:C61)&gt;7, "Вы использовали все баллы", IF(SUM(C58:C61)&lt;7, "Вы использовали не все баллы", ""))</f>
        <v/>
      </c>
      <c r="E57" s="23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23"/>
      <c r="AF57" s="23"/>
      <c r="AG57" s="23"/>
      <c r="AH57" s="23"/>
      <c r="AI57" s="23"/>
      <c r="AJ57" s="23"/>
    </row>
    <row r="58" spans="1:36" ht="15" customHeight="1" x14ac:dyDescent="0.25">
      <c r="A58" s="2" t="s">
        <v>2</v>
      </c>
      <c r="B58" s="18" t="s">
        <v>58</v>
      </c>
      <c r="C58" s="101"/>
      <c r="D58" s="9" t="str">
        <f>"Осталось: "&amp;7-SUM(C58:C61)&amp;" из 7"</f>
        <v>Осталось: 0 из 7</v>
      </c>
      <c r="E58" s="4" t="s">
        <v>18</v>
      </c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23"/>
      <c r="AF58" s="23"/>
      <c r="AG58" s="23"/>
      <c r="AH58" s="23"/>
      <c r="AI58" s="23"/>
      <c r="AJ58" s="23"/>
    </row>
    <row r="59" spans="1:36" ht="15" customHeight="1" x14ac:dyDescent="0.25">
      <c r="A59" s="2" t="s">
        <v>3</v>
      </c>
      <c r="B59" s="18" t="s">
        <v>59</v>
      </c>
      <c r="C59" s="101">
        <v>1</v>
      </c>
      <c r="D59" s="23"/>
      <c r="E59" s="4" t="s">
        <v>19</v>
      </c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23"/>
      <c r="AF59" s="23"/>
      <c r="AG59" s="23"/>
      <c r="AH59" s="23"/>
      <c r="AI59" s="23"/>
      <c r="AJ59" s="23"/>
    </row>
    <row r="60" spans="1:36" ht="45.75" customHeight="1" x14ac:dyDescent="0.25">
      <c r="A60" s="2" t="s">
        <v>4</v>
      </c>
      <c r="B60" s="43" t="s">
        <v>183</v>
      </c>
      <c r="C60" s="101">
        <v>3</v>
      </c>
      <c r="D60" s="23"/>
      <c r="E60" s="4" t="s">
        <v>55</v>
      </c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23"/>
      <c r="AF60" s="23"/>
      <c r="AG60" s="23"/>
      <c r="AH60" s="23"/>
      <c r="AI60" s="23"/>
      <c r="AJ60" s="23"/>
    </row>
    <row r="61" spans="1:36" ht="57.75" customHeight="1" x14ac:dyDescent="0.25">
      <c r="A61" s="2" t="s">
        <v>5</v>
      </c>
      <c r="B61" s="43" t="s">
        <v>189</v>
      </c>
      <c r="C61" s="101">
        <v>3</v>
      </c>
      <c r="D61" s="23"/>
      <c r="E61" s="4" t="s">
        <v>16</v>
      </c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23"/>
      <c r="AF61" s="23"/>
      <c r="AG61" s="23"/>
      <c r="AH61" s="23"/>
      <c r="AI61" s="23"/>
      <c r="AJ61" s="23"/>
    </row>
    <row r="62" spans="1:36" s="23" customFormat="1" ht="28.5" customHeight="1" x14ac:dyDescent="0.25">
      <c r="B62" s="20" t="s">
        <v>60</v>
      </c>
      <c r="D62" s="17" t="s">
        <v>13</v>
      </c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</row>
    <row r="63" spans="1:36" ht="15" customHeight="1" x14ac:dyDescent="0.25">
      <c r="A63" s="3">
        <v>10</v>
      </c>
      <c r="B63" s="29" t="s">
        <v>61</v>
      </c>
      <c r="C63" s="103"/>
      <c r="D63" s="23" t="str">
        <f>IF(SUM(C64:C67)&gt;7, "Вы использовали все баллы", IF(SUM(C64:C67)&lt;7, "Вы использовали не все баллы", ""))</f>
        <v/>
      </c>
      <c r="E63" s="23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23"/>
      <c r="AF63" s="23"/>
      <c r="AG63" s="23"/>
      <c r="AH63" s="23"/>
      <c r="AI63" s="23"/>
      <c r="AJ63" s="23"/>
    </row>
    <row r="64" spans="1:36" ht="39.75" customHeight="1" x14ac:dyDescent="0.25">
      <c r="A64" s="2" t="s">
        <v>2</v>
      </c>
      <c r="B64" s="18" t="s">
        <v>190</v>
      </c>
      <c r="C64" s="101"/>
      <c r="D64" s="9" t="str">
        <f>"Осталось: "&amp;7-SUM(C64:C67)&amp;" из 7"</f>
        <v>Осталось: 0 из 7</v>
      </c>
      <c r="E64" s="4" t="s">
        <v>19</v>
      </c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23"/>
      <c r="AF64" s="23"/>
      <c r="AG64" s="23"/>
      <c r="AH64" s="23"/>
      <c r="AI64" s="23"/>
      <c r="AJ64" s="23"/>
    </row>
    <row r="65" spans="1:36" ht="15" customHeight="1" x14ac:dyDescent="0.25">
      <c r="A65" s="2" t="s">
        <v>3</v>
      </c>
      <c r="B65" s="18" t="s">
        <v>62</v>
      </c>
      <c r="C65" s="101">
        <v>3</v>
      </c>
      <c r="D65" s="23"/>
      <c r="E65" s="4" t="s">
        <v>20</v>
      </c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23"/>
      <c r="AF65" s="23"/>
      <c r="AG65" s="23"/>
      <c r="AH65" s="23"/>
      <c r="AI65" s="23"/>
      <c r="AJ65" s="23"/>
    </row>
    <row r="66" spans="1:36" ht="15" customHeight="1" x14ac:dyDescent="0.25">
      <c r="A66" s="2" t="s">
        <v>4</v>
      </c>
      <c r="B66" s="18" t="s">
        <v>63</v>
      </c>
      <c r="C66" s="101">
        <v>3</v>
      </c>
      <c r="D66" s="23"/>
      <c r="E66" s="4" t="s">
        <v>16</v>
      </c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23"/>
      <c r="AF66" s="23"/>
      <c r="AG66" s="23"/>
      <c r="AH66" s="23"/>
      <c r="AI66" s="23"/>
      <c r="AJ66" s="23"/>
    </row>
    <row r="67" spans="1:36" ht="15" customHeight="1" x14ac:dyDescent="0.25">
      <c r="A67" s="2" t="s">
        <v>5</v>
      </c>
      <c r="B67" s="18" t="s">
        <v>64</v>
      </c>
      <c r="C67" s="101">
        <v>1</v>
      </c>
      <c r="D67" s="23"/>
      <c r="E67" s="4" t="s">
        <v>18</v>
      </c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23"/>
      <c r="AF67" s="23"/>
      <c r="AG67" s="23"/>
      <c r="AH67" s="23"/>
      <c r="AI67" s="23"/>
      <c r="AJ67" s="23"/>
    </row>
    <row r="68" spans="1:36" ht="28.5" customHeight="1" x14ac:dyDescent="0.25">
      <c r="B68" s="45" t="s">
        <v>65</v>
      </c>
      <c r="C68" s="92"/>
      <c r="D68" s="45" t="s">
        <v>13</v>
      </c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6" ht="15" customHeight="1" x14ac:dyDescent="0.25">
      <c r="A69" s="11">
        <v>11</v>
      </c>
      <c r="B69" s="38" t="s">
        <v>66</v>
      </c>
      <c r="C69" s="18"/>
      <c r="D69" t="str">
        <f>IF(SUM(C70:C73)&gt;7, "Вы использовали все баллы", IF(SUM(C70:C73)&lt;7, "Вы использовали не все баллы", ""))</f>
        <v/>
      </c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6" ht="30" customHeight="1" x14ac:dyDescent="0.25">
      <c r="A70" s="18" t="s">
        <v>2</v>
      </c>
      <c r="B70" s="31" t="s">
        <v>67</v>
      </c>
      <c r="C70" s="101">
        <v>3</v>
      </c>
      <c r="D70" s="14" t="str">
        <f>"Осталось: "&amp;7-SUM(C70:C73)&amp;" из 7"</f>
        <v>Осталось: 0 из 7</v>
      </c>
      <c r="E70" s="16" t="s">
        <v>16</v>
      </c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6" ht="30" customHeight="1" x14ac:dyDescent="0.25">
      <c r="A71" s="18" t="s">
        <v>3</v>
      </c>
      <c r="B71" s="31" t="s">
        <v>68</v>
      </c>
      <c r="C71" s="12">
        <v>1</v>
      </c>
      <c r="E71" s="16" t="s">
        <v>18</v>
      </c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6" ht="15" customHeight="1" x14ac:dyDescent="0.25">
      <c r="A72" s="18" t="s">
        <v>4</v>
      </c>
      <c r="B72" s="31" t="s">
        <v>69</v>
      </c>
      <c r="C72" s="12"/>
      <c r="E72" s="16" t="s">
        <v>19</v>
      </c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6" ht="28.5" customHeight="1" x14ac:dyDescent="0.25">
      <c r="A73" s="18" t="s">
        <v>5</v>
      </c>
      <c r="B73" s="31" t="s">
        <v>191</v>
      </c>
      <c r="C73" s="101">
        <v>3</v>
      </c>
      <c r="E73" s="16" t="s">
        <v>20</v>
      </c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6" s="23" customFormat="1" ht="28.5" customHeight="1" x14ac:dyDescent="0.25">
      <c r="B74" s="17" t="s">
        <v>70</v>
      </c>
      <c r="D74" s="17" t="s">
        <v>13</v>
      </c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</row>
    <row r="75" spans="1:36" ht="15" customHeight="1" x14ac:dyDescent="0.25">
      <c r="A75" s="11">
        <v>12</v>
      </c>
      <c r="B75" s="38" t="s">
        <v>71</v>
      </c>
      <c r="C75" s="18"/>
      <c r="D75" s="23" t="str">
        <f>IF(SUM(C76:C79)&gt;7, "Вы использовали все баллы", IF(SUM(C76:C79)&lt;7, "Вы использовали не все баллы", ""))</f>
        <v/>
      </c>
      <c r="E75" s="23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23"/>
      <c r="AF75" s="23"/>
      <c r="AG75" s="23"/>
      <c r="AH75" s="23"/>
      <c r="AI75" s="23"/>
      <c r="AJ75" s="23"/>
    </row>
    <row r="76" spans="1:36" ht="15" customHeight="1" x14ac:dyDescent="0.25">
      <c r="A76" s="18" t="s">
        <v>2</v>
      </c>
      <c r="B76" s="83" t="s">
        <v>72</v>
      </c>
      <c r="C76" s="12"/>
      <c r="D76" s="9" t="str">
        <f>"Осталось: "&amp;7-SUM(C76:C79)&amp;" из 7"</f>
        <v>Осталось: 0 из 7</v>
      </c>
      <c r="E76" s="4" t="s">
        <v>18</v>
      </c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23"/>
      <c r="AF76" s="23"/>
      <c r="AG76" s="23"/>
      <c r="AH76" s="23"/>
      <c r="AI76" s="23"/>
      <c r="AJ76" s="23"/>
    </row>
    <row r="77" spans="1:36" ht="34.5" customHeight="1" x14ac:dyDescent="0.25">
      <c r="A77" s="18" t="s">
        <v>3</v>
      </c>
      <c r="B77" s="83" t="s">
        <v>198</v>
      </c>
      <c r="C77" s="101">
        <v>3</v>
      </c>
      <c r="D77" s="23"/>
      <c r="E77" s="4" t="s">
        <v>16</v>
      </c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23"/>
      <c r="AF77" s="23"/>
      <c r="AG77" s="23"/>
      <c r="AH77" s="23"/>
      <c r="AI77" s="23"/>
      <c r="AJ77" s="23"/>
    </row>
    <row r="78" spans="1:36" ht="19.5" customHeight="1" x14ac:dyDescent="0.25">
      <c r="A78" s="18" t="s">
        <v>4</v>
      </c>
      <c r="B78" s="83" t="s">
        <v>184</v>
      </c>
      <c r="C78" s="101">
        <v>3</v>
      </c>
      <c r="D78" s="23"/>
      <c r="E78" s="4" t="s">
        <v>20</v>
      </c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23"/>
      <c r="AF78" s="23"/>
      <c r="AG78" s="23"/>
      <c r="AH78" s="23"/>
      <c r="AI78" s="23"/>
      <c r="AJ78" s="23"/>
    </row>
    <row r="79" spans="1:36" ht="15" customHeight="1" x14ac:dyDescent="0.25">
      <c r="A79" s="18" t="s">
        <v>5</v>
      </c>
      <c r="B79" s="83" t="s">
        <v>73</v>
      </c>
      <c r="C79" s="12">
        <v>1</v>
      </c>
      <c r="D79" s="23"/>
      <c r="E79" s="4" t="s">
        <v>19</v>
      </c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23"/>
      <c r="AF79" s="23"/>
      <c r="AG79" s="23"/>
      <c r="AH79" s="23"/>
      <c r="AI79" s="23"/>
      <c r="AJ79" s="23"/>
    </row>
    <row r="80" spans="1:36" s="23" customFormat="1" ht="28.5" customHeight="1" x14ac:dyDescent="0.25">
      <c r="B80" s="17" t="s">
        <v>74</v>
      </c>
      <c r="D80" s="17" t="s">
        <v>13</v>
      </c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</row>
    <row r="81" spans="1:36" ht="52.5" customHeight="1" x14ac:dyDescent="0.25">
      <c r="A81" s="11">
        <v>13</v>
      </c>
      <c r="B81" s="39" t="s">
        <v>185</v>
      </c>
      <c r="C81" s="18"/>
      <c r="D81" s="23" t="str">
        <f>IF(SUM(C82:C85)&gt;7, "Вы использовали все баллы", IF(SUM(C82:C85)&lt;7, "Вы использовали не все баллы", ""))</f>
        <v/>
      </c>
      <c r="E81" s="23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23"/>
      <c r="AF81" s="23"/>
      <c r="AG81" s="23"/>
      <c r="AH81" s="23"/>
      <c r="AI81" s="23"/>
      <c r="AJ81" s="23"/>
    </row>
    <row r="82" spans="1:36" ht="32.25" customHeight="1" x14ac:dyDescent="0.25">
      <c r="A82" s="18" t="s">
        <v>2</v>
      </c>
      <c r="B82" s="69" t="s">
        <v>175</v>
      </c>
      <c r="C82" s="101">
        <v>3</v>
      </c>
      <c r="D82" s="9" t="str">
        <f>"Осталось: "&amp;7-SUM(C82:C85)&amp;" из 7"</f>
        <v>Осталось: 0 из 7</v>
      </c>
      <c r="E82" s="4" t="s">
        <v>20</v>
      </c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23"/>
      <c r="AF82" s="23"/>
      <c r="AG82" s="23"/>
      <c r="AH82" s="23"/>
      <c r="AI82" s="23"/>
      <c r="AJ82" s="23"/>
    </row>
    <row r="83" spans="1:36" ht="34.5" customHeight="1" x14ac:dyDescent="0.25">
      <c r="A83" s="18" t="s">
        <v>3</v>
      </c>
      <c r="B83" s="105" t="s">
        <v>176</v>
      </c>
      <c r="C83" s="101">
        <v>3</v>
      </c>
      <c r="D83" s="23"/>
      <c r="E83" s="4" t="s">
        <v>16</v>
      </c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23"/>
      <c r="AF83" s="23"/>
      <c r="AG83" s="23"/>
      <c r="AH83" s="23"/>
      <c r="AI83" s="23"/>
      <c r="AJ83" s="23"/>
    </row>
    <row r="84" spans="1:36" ht="31.5" customHeight="1" x14ac:dyDescent="0.25">
      <c r="A84" s="18" t="s">
        <v>4</v>
      </c>
      <c r="B84" s="105" t="s">
        <v>173</v>
      </c>
      <c r="C84" s="12">
        <v>1</v>
      </c>
      <c r="D84" s="23"/>
      <c r="E84" s="4" t="s">
        <v>18</v>
      </c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23"/>
      <c r="AF84" s="23"/>
      <c r="AG84" s="23"/>
      <c r="AH84" s="23"/>
      <c r="AI84" s="23"/>
      <c r="AJ84" s="23"/>
    </row>
    <row r="85" spans="1:36" ht="30" customHeight="1" x14ac:dyDescent="0.25">
      <c r="A85" s="18" t="s">
        <v>5</v>
      </c>
      <c r="B85" s="105" t="s">
        <v>174</v>
      </c>
      <c r="C85" s="12"/>
      <c r="D85" s="23"/>
      <c r="E85" s="4" t="s">
        <v>19</v>
      </c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23"/>
      <c r="AF85" s="23"/>
      <c r="AG85" s="23"/>
      <c r="AH85" s="23"/>
      <c r="AI85" s="23"/>
      <c r="AJ85" s="23"/>
    </row>
    <row r="86" spans="1:36" s="23" customFormat="1" ht="28.5" customHeight="1" x14ac:dyDescent="0.25">
      <c r="B86" s="23" t="s">
        <v>75</v>
      </c>
      <c r="D86" s="17" t="s">
        <v>13</v>
      </c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</row>
    <row r="87" spans="1:36" ht="15" customHeight="1" x14ac:dyDescent="0.25">
      <c r="A87" s="11">
        <v>14</v>
      </c>
      <c r="B87" s="35" t="s">
        <v>76</v>
      </c>
      <c r="C87" s="18"/>
      <c r="D87" s="23" t="str">
        <f>IF(SUM(C88:C91)&gt;7, "Вы использовали все баллы", IF(SUM(C88:C91)&lt;7, "Вы использовали не все баллы", ""))</f>
        <v/>
      </c>
      <c r="E87" s="23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23"/>
      <c r="AF87" s="23"/>
      <c r="AG87" s="23"/>
      <c r="AH87" s="23"/>
      <c r="AI87" s="23"/>
      <c r="AJ87" s="23"/>
    </row>
    <row r="88" spans="1:36" ht="15" customHeight="1" x14ac:dyDescent="0.25">
      <c r="A88" s="18" t="s">
        <v>2</v>
      </c>
      <c r="B88" s="83" t="s">
        <v>77</v>
      </c>
      <c r="C88" s="12"/>
      <c r="D88" s="9" t="str">
        <f>"Осталось: "&amp;7-SUM(C88:C91)&amp;" из 7"</f>
        <v>Осталось: 0 из 7</v>
      </c>
      <c r="E88" s="4" t="s">
        <v>19</v>
      </c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23"/>
      <c r="AF88" s="23"/>
      <c r="AG88" s="23"/>
      <c r="AH88" s="23"/>
      <c r="AI88" s="23"/>
      <c r="AJ88" s="23"/>
    </row>
    <row r="89" spans="1:36" ht="26.25" customHeight="1" x14ac:dyDescent="0.25">
      <c r="A89" s="18" t="s">
        <v>3</v>
      </c>
      <c r="B89" s="106" t="s">
        <v>186</v>
      </c>
      <c r="C89" s="101">
        <v>3</v>
      </c>
      <c r="D89" s="23"/>
      <c r="E89" s="4" t="s">
        <v>20</v>
      </c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23"/>
      <c r="AF89" s="23"/>
      <c r="AG89" s="23"/>
      <c r="AH89" s="23"/>
      <c r="AI89" s="23"/>
      <c r="AJ89" s="23"/>
    </row>
    <row r="90" spans="1:36" ht="15" customHeight="1" x14ac:dyDescent="0.25">
      <c r="A90" s="18" t="s">
        <v>4</v>
      </c>
      <c r="B90" s="83" t="s">
        <v>78</v>
      </c>
      <c r="C90" s="101">
        <v>3</v>
      </c>
      <c r="D90" s="23"/>
      <c r="E90" s="4" t="s">
        <v>16</v>
      </c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23"/>
      <c r="AF90" s="23"/>
      <c r="AG90" s="23"/>
      <c r="AH90" s="23"/>
      <c r="AI90" s="23"/>
      <c r="AJ90" s="23"/>
    </row>
    <row r="91" spans="1:36" ht="15" customHeight="1" x14ac:dyDescent="0.25">
      <c r="A91" s="18" t="s">
        <v>5</v>
      </c>
      <c r="B91" s="83" t="s">
        <v>79</v>
      </c>
      <c r="C91" s="12">
        <v>1</v>
      </c>
      <c r="D91" s="23"/>
      <c r="E91" s="4" t="s">
        <v>18</v>
      </c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23"/>
      <c r="AF91" s="23"/>
      <c r="AG91" s="23"/>
      <c r="AH91" s="23"/>
      <c r="AI91" s="23"/>
      <c r="AJ91" s="23"/>
    </row>
    <row r="92" spans="1:36" ht="15" customHeight="1" x14ac:dyDescent="0.25">
      <c r="D92" s="23"/>
      <c r="E92" s="23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23"/>
      <c r="AF92" s="23"/>
      <c r="AG92" s="23"/>
      <c r="AH92" s="23"/>
      <c r="AI92" s="23"/>
      <c r="AJ92" s="23"/>
    </row>
    <row r="93" spans="1:36" ht="15" customHeight="1" x14ac:dyDescent="0.25">
      <c r="D93" s="23"/>
      <c r="E93" s="23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23"/>
      <c r="AF93" s="23"/>
      <c r="AG93" s="23"/>
      <c r="AH93" s="23"/>
      <c r="AI93" s="23"/>
      <c r="AJ93" s="23"/>
    </row>
    <row r="94" spans="1:36" ht="15" customHeight="1" x14ac:dyDescent="0.25">
      <c r="D94" s="23"/>
      <c r="E94" s="23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23"/>
      <c r="AF94" s="23"/>
      <c r="AG94" s="23"/>
      <c r="AH94" s="23"/>
      <c r="AI94" s="23"/>
      <c r="AJ94" s="23"/>
    </row>
    <row r="95" spans="1:36" ht="15" customHeight="1" x14ac:dyDescent="0.25">
      <c r="D95" s="23"/>
      <c r="E95" s="23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23"/>
      <c r="AF95" s="23"/>
      <c r="AG95" s="23"/>
      <c r="AH95" s="23"/>
      <c r="AI95" s="23"/>
      <c r="AJ95" s="23"/>
    </row>
    <row r="96" spans="1:36" ht="15" customHeight="1" x14ac:dyDescent="0.25">
      <c r="D96" s="23"/>
      <c r="E96" s="23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23"/>
      <c r="AF96" s="23"/>
      <c r="AG96" s="23"/>
      <c r="AH96" s="23"/>
      <c r="AI96" s="23"/>
      <c r="AJ96" s="23"/>
    </row>
    <row r="97" spans="4:36" ht="15" customHeight="1" x14ac:dyDescent="0.25">
      <c r="D97" s="23"/>
      <c r="E97" s="23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23"/>
      <c r="AF97" s="23"/>
      <c r="AG97" s="23"/>
      <c r="AH97" s="23"/>
      <c r="AI97" s="23"/>
      <c r="AJ97" s="23"/>
    </row>
    <row r="98" spans="4:36" ht="15" customHeight="1" x14ac:dyDescent="0.25">
      <c r="D98" s="23"/>
      <c r="E98" s="23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23"/>
      <c r="AF98" s="23"/>
      <c r="AG98" s="23"/>
      <c r="AH98" s="23"/>
      <c r="AI98" s="23"/>
      <c r="AJ98" s="23"/>
    </row>
    <row r="99" spans="4:36" ht="15" customHeight="1" x14ac:dyDescent="0.25">
      <c r="D99" s="23"/>
      <c r="E99" s="23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23"/>
      <c r="AF99" s="23"/>
      <c r="AG99" s="23"/>
      <c r="AH99" s="23"/>
      <c r="AI99" s="23"/>
      <c r="AJ99" s="23"/>
    </row>
    <row r="100" spans="4:36" ht="15" customHeight="1" x14ac:dyDescent="0.25">
      <c r="D100" s="23"/>
      <c r="E100" s="23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23"/>
      <c r="AF100" s="23"/>
      <c r="AG100" s="23"/>
      <c r="AH100" s="23"/>
      <c r="AI100" s="23"/>
      <c r="AJ100" s="23"/>
    </row>
    <row r="101" spans="4:36" ht="15" customHeight="1" x14ac:dyDescent="0.25">
      <c r="D101" s="23"/>
      <c r="E101" s="23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23"/>
      <c r="AF101" s="23"/>
      <c r="AG101" s="23"/>
      <c r="AH101" s="23"/>
      <c r="AI101" s="23"/>
      <c r="AJ101" s="23"/>
    </row>
    <row r="102" spans="4:36" ht="15" customHeight="1" x14ac:dyDescent="0.25">
      <c r="D102" s="23"/>
      <c r="E102" s="23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23"/>
      <c r="AF102" s="23"/>
      <c r="AG102" s="23"/>
      <c r="AH102" s="23"/>
      <c r="AI102" s="23"/>
      <c r="AJ102" s="23"/>
    </row>
    <row r="103" spans="4:36" ht="15" customHeight="1" x14ac:dyDescent="0.25">
      <c r="D103" s="23"/>
      <c r="E103" s="23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23"/>
      <c r="AF103" s="23"/>
      <c r="AG103" s="23"/>
      <c r="AH103" s="23"/>
      <c r="AI103" s="23"/>
      <c r="AJ103" s="23"/>
    </row>
    <row r="104" spans="4:36" ht="15" customHeight="1" x14ac:dyDescent="0.25">
      <c r="D104" s="23"/>
      <c r="E104" s="23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23"/>
      <c r="AF104" s="23"/>
      <c r="AG104" s="23"/>
      <c r="AH104" s="23"/>
      <c r="AI104" s="23"/>
      <c r="AJ104" s="23"/>
    </row>
    <row r="105" spans="4:36" ht="15" customHeight="1" x14ac:dyDescent="0.25">
      <c r="D105" s="23"/>
      <c r="E105" s="23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23"/>
      <c r="AF105" s="23"/>
      <c r="AG105" s="23"/>
      <c r="AH105" s="23"/>
      <c r="AI105" s="23"/>
      <c r="AJ105" s="23"/>
    </row>
    <row r="106" spans="4:36" ht="15" customHeight="1" x14ac:dyDescent="0.25">
      <c r="D106" s="23"/>
      <c r="E106" s="23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23"/>
      <c r="AF106" s="23"/>
      <c r="AG106" s="23"/>
      <c r="AH106" s="23"/>
      <c r="AI106" s="23"/>
      <c r="AJ106" s="23"/>
    </row>
    <row r="107" spans="4:36" ht="15" customHeight="1" x14ac:dyDescent="0.25">
      <c r="D107" s="23"/>
      <c r="E107" s="23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23"/>
      <c r="AF107" s="23"/>
      <c r="AG107" s="23"/>
      <c r="AH107" s="23"/>
      <c r="AI107" s="23"/>
      <c r="AJ107" s="23"/>
    </row>
    <row r="108" spans="4:36" ht="15" customHeight="1" x14ac:dyDescent="0.25">
      <c r="D108" s="23"/>
      <c r="E108" s="23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23"/>
      <c r="AF108" s="23"/>
      <c r="AG108" s="23"/>
      <c r="AH108" s="23"/>
      <c r="AI108" s="23"/>
      <c r="AJ108" s="23"/>
    </row>
    <row r="109" spans="4:36" ht="15" customHeight="1" x14ac:dyDescent="0.25">
      <c r="D109" s="23"/>
      <c r="E109" s="23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23"/>
      <c r="AF109" s="23"/>
      <c r="AG109" s="23"/>
      <c r="AH109" s="23"/>
      <c r="AI109" s="23"/>
      <c r="AJ109" s="23"/>
    </row>
    <row r="110" spans="4:36" ht="15" customHeight="1" x14ac:dyDescent="0.25">
      <c r="D110" s="23"/>
      <c r="E110" s="23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23"/>
      <c r="AF110" s="23"/>
      <c r="AG110" s="23"/>
      <c r="AH110" s="23"/>
      <c r="AI110" s="23"/>
      <c r="AJ110" s="23"/>
    </row>
    <row r="111" spans="4:36" ht="15" customHeight="1" x14ac:dyDescent="0.25">
      <c r="D111" s="23"/>
      <c r="E111" s="23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23"/>
      <c r="AF111" s="23"/>
      <c r="AG111" s="23"/>
      <c r="AH111" s="23"/>
      <c r="AI111" s="23"/>
      <c r="AJ111" s="23"/>
    </row>
    <row r="112" spans="4:36" ht="15" customHeight="1" x14ac:dyDescent="0.25">
      <c r="D112" s="23"/>
      <c r="E112" s="23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23"/>
      <c r="AF112" s="23"/>
      <c r="AG112" s="23"/>
      <c r="AH112" s="23"/>
      <c r="AI112" s="23"/>
      <c r="AJ112" s="23"/>
    </row>
    <row r="113" spans="4:36" ht="15" customHeight="1" x14ac:dyDescent="0.25">
      <c r="D113" s="23"/>
      <c r="E113" s="23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23"/>
      <c r="AF113" s="23"/>
      <c r="AG113" s="23"/>
      <c r="AH113" s="23"/>
      <c r="AI113" s="23"/>
      <c r="AJ113" s="23"/>
    </row>
    <row r="114" spans="4:36" ht="15" customHeight="1" x14ac:dyDescent="0.25">
      <c r="D114" s="23"/>
      <c r="E114" s="23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23"/>
      <c r="AF114" s="23"/>
      <c r="AG114" s="23"/>
      <c r="AH114" s="23"/>
      <c r="AI114" s="23"/>
      <c r="AJ114" s="23"/>
    </row>
    <row r="115" spans="4:36" ht="15" customHeight="1" x14ac:dyDescent="0.25">
      <c r="D115" s="23"/>
      <c r="E115" s="23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23"/>
      <c r="AF115" s="23"/>
      <c r="AG115" s="23"/>
      <c r="AH115" s="23"/>
      <c r="AI115" s="23"/>
      <c r="AJ115" s="23"/>
    </row>
    <row r="116" spans="4:36" ht="15" customHeight="1" x14ac:dyDescent="0.25">
      <c r="D116" s="23"/>
      <c r="E116" s="23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23"/>
      <c r="AF116" s="23"/>
      <c r="AG116" s="23"/>
      <c r="AH116" s="23"/>
      <c r="AI116" s="23"/>
      <c r="AJ116" s="23"/>
    </row>
    <row r="117" spans="4:36" ht="15" customHeight="1" x14ac:dyDescent="0.25">
      <c r="D117" s="23"/>
      <c r="E117" s="23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23"/>
      <c r="AF117" s="23"/>
      <c r="AG117" s="23"/>
      <c r="AH117" s="23"/>
      <c r="AI117" s="23"/>
      <c r="AJ117" s="23"/>
    </row>
    <row r="118" spans="4:36" ht="15" customHeight="1" x14ac:dyDescent="0.25">
      <c r="D118" s="23"/>
      <c r="E118" s="23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23"/>
      <c r="AF118" s="23"/>
      <c r="AG118" s="23"/>
      <c r="AH118" s="23"/>
      <c r="AI118" s="23"/>
      <c r="AJ118" s="23"/>
    </row>
    <row r="119" spans="4:36" ht="15" customHeight="1" x14ac:dyDescent="0.25">
      <c r="D119" s="23"/>
      <c r="E119" s="23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23"/>
      <c r="AF119" s="23"/>
      <c r="AG119" s="23"/>
      <c r="AH119" s="23"/>
      <c r="AI119" s="23"/>
      <c r="AJ119" s="23"/>
    </row>
    <row r="120" spans="4:36" ht="15" customHeight="1" x14ac:dyDescent="0.25">
      <c r="D120" s="23"/>
      <c r="E120" s="23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23"/>
      <c r="AF120" s="23"/>
      <c r="AG120" s="23"/>
      <c r="AH120" s="23"/>
      <c r="AI120" s="23"/>
      <c r="AJ120" s="23"/>
    </row>
    <row r="121" spans="4:36" ht="15" customHeight="1" x14ac:dyDescent="0.25">
      <c r="D121" s="23"/>
      <c r="E121" s="23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23"/>
      <c r="AF121" s="23"/>
      <c r="AG121" s="23"/>
      <c r="AH121" s="23"/>
      <c r="AI121" s="23"/>
      <c r="AJ121" s="23"/>
    </row>
    <row r="122" spans="4:36" ht="15" customHeight="1" x14ac:dyDescent="0.25">
      <c r="D122" s="23"/>
      <c r="E122" s="23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23"/>
      <c r="AF122" s="23"/>
      <c r="AG122" s="23"/>
      <c r="AH122" s="23"/>
      <c r="AI122" s="23"/>
      <c r="AJ122" s="23"/>
    </row>
    <row r="123" spans="4:36" ht="15" customHeight="1" x14ac:dyDescent="0.25">
      <c r="D123" s="23"/>
      <c r="E123" s="23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23"/>
      <c r="AF123" s="23"/>
      <c r="AG123" s="23"/>
      <c r="AH123" s="23"/>
      <c r="AI123" s="23"/>
      <c r="AJ123" s="23"/>
    </row>
    <row r="124" spans="4:36" ht="15" customHeight="1" x14ac:dyDescent="0.25">
      <c r="D124" s="23"/>
      <c r="E124" s="23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23"/>
      <c r="AF124" s="23"/>
      <c r="AG124" s="23"/>
      <c r="AH124" s="23"/>
      <c r="AI124" s="23"/>
      <c r="AJ124" s="23"/>
    </row>
    <row r="125" spans="4:36" ht="15" customHeight="1" x14ac:dyDescent="0.25">
      <c r="D125" s="23"/>
      <c r="E125" s="23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23"/>
      <c r="AF125" s="23"/>
      <c r="AG125" s="23"/>
      <c r="AH125" s="23"/>
      <c r="AI125" s="23"/>
      <c r="AJ125" s="23"/>
    </row>
    <row r="126" spans="4:36" ht="15" customHeight="1" x14ac:dyDescent="0.25">
      <c r="D126" s="23"/>
      <c r="E126" s="23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23"/>
      <c r="AF126" s="23"/>
      <c r="AG126" s="23"/>
      <c r="AH126" s="23"/>
      <c r="AI126" s="23"/>
      <c r="AJ126" s="23"/>
    </row>
    <row r="127" spans="4:36" ht="15" customHeight="1" x14ac:dyDescent="0.25">
      <c r="D127" s="23"/>
      <c r="E127" s="23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23"/>
      <c r="AF127" s="23"/>
      <c r="AG127" s="23"/>
      <c r="AH127" s="23"/>
      <c r="AI127" s="23"/>
      <c r="AJ127" s="23"/>
    </row>
    <row r="128" spans="4:36" ht="15" customHeight="1" x14ac:dyDescent="0.25">
      <c r="D128" s="23"/>
      <c r="E128" s="23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23"/>
      <c r="AF128" s="23"/>
      <c r="AG128" s="23"/>
      <c r="AH128" s="23"/>
      <c r="AI128" s="23"/>
      <c r="AJ128" s="23"/>
    </row>
    <row r="129" spans="4:36" ht="15" customHeight="1" x14ac:dyDescent="0.25">
      <c r="D129" s="23"/>
      <c r="E129" s="23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23"/>
      <c r="AF129" s="23"/>
      <c r="AG129" s="23"/>
      <c r="AH129" s="23"/>
      <c r="AI129" s="23"/>
      <c r="AJ129" s="23"/>
    </row>
    <row r="130" spans="4:36" ht="15" customHeight="1" x14ac:dyDescent="0.25">
      <c r="D130" s="23"/>
      <c r="E130" s="23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23"/>
      <c r="AF130" s="23"/>
      <c r="AG130" s="23"/>
      <c r="AH130" s="23"/>
      <c r="AI130" s="23"/>
      <c r="AJ130" s="23"/>
    </row>
    <row r="131" spans="4:36" ht="15" customHeight="1" x14ac:dyDescent="0.25">
      <c r="D131" s="23"/>
      <c r="E131" s="23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23"/>
      <c r="AF131" s="23"/>
      <c r="AG131" s="23"/>
      <c r="AH131" s="23"/>
      <c r="AI131" s="23"/>
      <c r="AJ131" s="23"/>
    </row>
    <row r="132" spans="4:36" ht="15" customHeight="1" x14ac:dyDescent="0.25">
      <c r="D132" s="23"/>
      <c r="E132" s="23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23"/>
      <c r="AF132" s="23"/>
      <c r="AG132" s="23"/>
      <c r="AH132" s="23"/>
      <c r="AI132" s="23"/>
      <c r="AJ132" s="23"/>
    </row>
    <row r="133" spans="4:36" ht="15" customHeight="1" x14ac:dyDescent="0.25">
      <c r="D133" s="23"/>
      <c r="E133" s="23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23"/>
      <c r="AF133" s="23"/>
      <c r="AG133" s="23"/>
      <c r="AH133" s="23"/>
      <c r="AI133" s="23"/>
      <c r="AJ133" s="23"/>
    </row>
    <row r="134" spans="4:36" ht="15" customHeight="1" x14ac:dyDescent="0.25">
      <c r="D134" s="23"/>
      <c r="E134" s="23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23"/>
      <c r="AF134" s="23"/>
      <c r="AG134" s="23"/>
      <c r="AH134" s="23"/>
      <c r="AI134" s="23"/>
      <c r="AJ134" s="23"/>
    </row>
    <row r="135" spans="4:36" ht="15" customHeight="1" x14ac:dyDescent="0.25">
      <c r="D135" s="23"/>
      <c r="E135" s="23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23"/>
      <c r="AF135" s="23"/>
      <c r="AG135" s="23"/>
      <c r="AH135" s="23"/>
      <c r="AI135" s="23"/>
      <c r="AJ135" s="23"/>
    </row>
    <row r="136" spans="4:36" ht="15" customHeight="1" x14ac:dyDescent="0.25">
      <c r="D136" s="23"/>
      <c r="E136" s="23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23"/>
      <c r="AF136" s="23"/>
      <c r="AG136" s="23"/>
      <c r="AH136" s="23"/>
      <c r="AI136" s="23"/>
      <c r="AJ136" s="23"/>
    </row>
    <row r="137" spans="4:36" ht="15" customHeight="1" x14ac:dyDescent="0.25">
      <c r="D137" s="23"/>
      <c r="E137" s="23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23"/>
      <c r="AF137" s="23"/>
      <c r="AG137" s="23"/>
      <c r="AH137" s="23"/>
      <c r="AI137" s="23"/>
      <c r="AJ137" s="23"/>
    </row>
    <row r="138" spans="4:36" ht="15" customHeight="1" x14ac:dyDescent="0.25">
      <c r="D138" s="23"/>
      <c r="E138" s="23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23"/>
      <c r="AF138" s="23"/>
      <c r="AG138" s="23"/>
      <c r="AH138" s="23"/>
      <c r="AI138" s="23"/>
      <c r="AJ138" s="23"/>
    </row>
    <row r="139" spans="4:36" ht="15" customHeight="1" x14ac:dyDescent="0.25">
      <c r="D139" s="23"/>
      <c r="E139" s="23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23"/>
      <c r="AF139" s="23"/>
      <c r="AG139" s="23"/>
      <c r="AH139" s="23"/>
      <c r="AI139" s="23"/>
      <c r="AJ139" s="23"/>
    </row>
    <row r="140" spans="4:36" ht="15" customHeight="1" x14ac:dyDescent="0.25">
      <c r="D140" s="23"/>
      <c r="E140" s="23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23"/>
      <c r="AF140" s="23"/>
      <c r="AG140" s="23"/>
      <c r="AH140" s="23"/>
      <c r="AI140" s="23"/>
      <c r="AJ140" s="23"/>
    </row>
    <row r="141" spans="4:36" ht="15" customHeight="1" x14ac:dyDescent="0.25">
      <c r="D141" s="23"/>
      <c r="E141" s="23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23"/>
      <c r="AF141" s="23"/>
      <c r="AG141" s="23"/>
      <c r="AH141" s="23"/>
      <c r="AI141" s="23"/>
      <c r="AJ141" s="23"/>
    </row>
    <row r="142" spans="4:36" ht="15" customHeight="1" x14ac:dyDescent="0.25">
      <c r="D142" s="23"/>
      <c r="E142" s="23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23"/>
      <c r="AF142" s="23"/>
      <c r="AG142" s="23"/>
      <c r="AH142" s="23"/>
      <c r="AI142" s="23"/>
      <c r="AJ142" s="23"/>
    </row>
    <row r="143" spans="4:36" ht="15" customHeight="1" x14ac:dyDescent="0.25">
      <c r="D143" s="23"/>
      <c r="E143" s="23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23"/>
      <c r="AF143" s="23"/>
      <c r="AG143" s="23"/>
      <c r="AH143" s="23"/>
      <c r="AI143" s="23"/>
      <c r="AJ143" s="23"/>
    </row>
    <row r="144" spans="4:36" ht="15" customHeight="1" x14ac:dyDescent="0.25">
      <c r="D144" s="23"/>
      <c r="E144" s="23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23"/>
      <c r="AF144" s="23"/>
      <c r="AG144" s="23"/>
      <c r="AH144" s="23"/>
      <c r="AI144" s="23"/>
      <c r="AJ144" s="23"/>
    </row>
    <row r="145" spans="4:36" ht="15" customHeight="1" x14ac:dyDescent="0.25">
      <c r="D145" s="23"/>
      <c r="E145" s="23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23"/>
      <c r="AF145" s="23"/>
      <c r="AG145" s="23"/>
      <c r="AH145" s="23"/>
      <c r="AI145" s="23"/>
      <c r="AJ145" s="23"/>
    </row>
    <row r="146" spans="4:36" ht="15" customHeight="1" x14ac:dyDescent="0.25">
      <c r="D146" s="23"/>
      <c r="E146" s="23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23"/>
      <c r="AF146" s="23"/>
      <c r="AG146" s="23"/>
      <c r="AH146" s="23"/>
      <c r="AI146" s="23"/>
      <c r="AJ146" s="23"/>
    </row>
    <row r="147" spans="4:36" ht="15" customHeight="1" x14ac:dyDescent="0.25">
      <c r="D147" s="23"/>
      <c r="E147" s="23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23"/>
      <c r="AF147" s="23"/>
      <c r="AG147" s="23"/>
      <c r="AH147" s="23"/>
      <c r="AI147" s="23"/>
      <c r="AJ147" s="23"/>
    </row>
    <row r="148" spans="4:36" ht="15" customHeight="1" x14ac:dyDescent="0.25">
      <c r="D148" s="23"/>
      <c r="E148" s="23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23"/>
      <c r="AF148" s="23"/>
      <c r="AG148" s="23"/>
      <c r="AH148" s="23"/>
      <c r="AI148" s="23"/>
      <c r="AJ148" s="23"/>
    </row>
    <row r="149" spans="4:36" ht="15" customHeight="1" x14ac:dyDescent="0.25">
      <c r="D149" s="23"/>
      <c r="E149" s="23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23"/>
      <c r="AF149" s="23"/>
      <c r="AG149" s="23"/>
      <c r="AH149" s="23"/>
      <c r="AI149" s="23"/>
      <c r="AJ149" s="23"/>
    </row>
    <row r="150" spans="4:36" ht="15" customHeight="1" x14ac:dyDescent="0.25">
      <c r="D150" s="23"/>
      <c r="E150" s="23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23"/>
      <c r="AF150" s="23"/>
      <c r="AG150" s="23"/>
      <c r="AH150" s="23"/>
      <c r="AI150" s="23"/>
      <c r="AJ150" s="23"/>
    </row>
    <row r="151" spans="4:36" ht="15" customHeight="1" x14ac:dyDescent="0.25">
      <c r="D151" s="23"/>
      <c r="E151" s="23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23"/>
      <c r="AF151" s="23"/>
      <c r="AG151" s="23"/>
      <c r="AH151" s="23"/>
      <c r="AI151" s="23"/>
      <c r="AJ151" s="23"/>
    </row>
    <row r="152" spans="4:36" ht="15" customHeight="1" x14ac:dyDescent="0.25">
      <c r="D152" s="23"/>
      <c r="E152" s="23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23"/>
      <c r="AF152" s="23"/>
      <c r="AG152" s="23"/>
      <c r="AH152" s="23"/>
      <c r="AI152" s="23"/>
      <c r="AJ152" s="23"/>
    </row>
    <row r="153" spans="4:36" ht="15" customHeight="1" x14ac:dyDescent="0.25">
      <c r="D153" s="23"/>
      <c r="E153" s="23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23"/>
      <c r="AF153" s="23"/>
      <c r="AG153" s="23"/>
      <c r="AH153" s="23"/>
      <c r="AI153" s="23"/>
      <c r="AJ153" s="23"/>
    </row>
    <row r="154" spans="4:36" ht="15" customHeight="1" x14ac:dyDescent="0.25">
      <c r="D154" s="23"/>
      <c r="E154" s="23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23"/>
      <c r="AF154" s="23"/>
      <c r="AG154" s="23"/>
      <c r="AH154" s="23"/>
      <c r="AI154" s="23"/>
      <c r="AJ154" s="23"/>
    </row>
    <row r="155" spans="4:36" ht="15" customHeight="1" x14ac:dyDescent="0.25">
      <c r="D155" s="23"/>
      <c r="E155" s="23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23"/>
      <c r="AF155" s="23"/>
      <c r="AG155" s="23"/>
      <c r="AH155" s="23"/>
      <c r="AI155" s="23"/>
      <c r="AJ155" s="23"/>
    </row>
    <row r="156" spans="4:36" ht="15" customHeight="1" x14ac:dyDescent="0.25">
      <c r="D156" s="23"/>
      <c r="E156" s="23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23"/>
      <c r="AF156" s="23"/>
      <c r="AG156" s="23"/>
      <c r="AH156" s="23"/>
      <c r="AI156" s="23"/>
      <c r="AJ156" s="23"/>
    </row>
    <row r="157" spans="4:36" ht="15" customHeight="1" x14ac:dyDescent="0.25">
      <c r="D157" s="23"/>
      <c r="E157" s="23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23"/>
      <c r="AF157" s="23"/>
      <c r="AG157" s="23"/>
      <c r="AH157" s="23"/>
      <c r="AI157" s="23"/>
      <c r="AJ157" s="23"/>
    </row>
    <row r="158" spans="4:36" ht="15" customHeight="1" x14ac:dyDescent="0.25">
      <c r="D158" s="23"/>
      <c r="E158" s="23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23"/>
      <c r="AF158" s="23"/>
      <c r="AG158" s="23"/>
      <c r="AH158" s="23"/>
      <c r="AI158" s="23"/>
      <c r="AJ158" s="23"/>
    </row>
    <row r="159" spans="4:36" ht="15" customHeight="1" x14ac:dyDescent="0.25">
      <c r="D159" s="23"/>
      <c r="E159" s="23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23"/>
      <c r="AF159" s="23"/>
      <c r="AG159" s="23"/>
      <c r="AH159" s="23"/>
      <c r="AI159" s="23"/>
      <c r="AJ159" s="23"/>
    </row>
    <row r="160" spans="4:36" ht="15" customHeight="1" x14ac:dyDescent="0.25">
      <c r="D160" s="23"/>
      <c r="E160" s="23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23"/>
      <c r="AF160" s="23"/>
      <c r="AG160" s="23"/>
      <c r="AH160" s="23"/>
      <c r="AI160" s="23"/>
      <c r="AJ160" s="23"/>
    </row>
    <row r="161" spans="4:36" ht="15" customHeight="1" x14ac:dyDescent="0.25">
      <c r="D161" s="23"/>
      <c r="E161" s="23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23"/>
      <c r="AF161" s="23"/>
      <c r="AG161" s="23"/>
      <c r="AH161" s="23"/>
      <c r="AI161" s="23"/>
      <c r="AJ161" s="23"/>
    </row>
    <row r="162" spans="4:36" ht="15" customHeight="1" x14ac:dyDescent="0.25">
      <c r="D162" s="23"/>
      <c r="E162" s="23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23"/>
      <c r="AF162" s="23"/>
      <c r="AG162" s="23"/>
      <c r="AH162" s="23"/>
      <c r="AI162" s="23"/>
      <c r="AJ162" s="23"/>
    </row>
    <row r="163" spans="4:36" ht="15" customHeight="1" x14ac:dyDescent="0.25">
      <c r="D163" s="23"/>
      <c r="E163" s="23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23"/>
      <c r="AF163" s="23"/>
      <c r="AG163" s="23"/>
      <c r="AH163" s="23"/>
      <c r="AI163" s="23"/>
      <c r="AJ163" s="23"/>
    </row>
    <row r="164" spans="4:36" ht="15" customHeight="1" x14ac:dyDescent="0.25">
      <c r="D164" s="23"/>
      <c r="E164" s="23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23"/>
      <c r="AF164" s="23"/>
      <c r="AG164" s="23"/>
      <c r="AH164" s="23"/>
      <c r="AI164" s="23"/>
      <c r="AJ164" s="23"/>
    </row>
    <row r="165" spans="4:36" ht="15" customHeight="1" x14ac:dyDescent="0.25">
      <c r="D165" s="23"/>
      <c r="E165" s="23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23"/>
      <c r="AF165" s="23"/>
      <c r="AG165" s="23"/>
      <c r="AH165" s="23"/>
      <c r="AI165" s="23"/>
      <c r="AJ165" s="23"/>
    </row>
    <row r="166" spans="4:36" ht="15" customHeight="1" x14ac:dyDescent="0.25">
      <c r="D166" s="23"/>
      <c r="E166" s="23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23"/>
      <c r="AF166" s="23"/>
      <c r="AG166" s="23"/>
      <c r="AH166" s="23"/>
      <c r="AI166" s="23"/>
      <c r="AJ166" s="23"/>
    </row>
    <row r="167" spans="4:36" ht="15" customHeight="1" x14ac:dyDescent="0.25">
      <c r="D167" s="23"/>
      <c r="E167" s="23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23"/>
      <c r="AF167" s="23"/>
      <c r="AG167" s="23"/>
      <c r="AH167" s="23"/>
      <c r="AI167" s="23"/>
      <c r="AJ167" s="23"/>
    </row>
    <row r="168" spans="4:36" ht="15" customHeight="1" x14ac:dyDescent="0.25">
      <c r="D168" s="23"/>
      <c r="E168" s="23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23"/>
      <c r="AF168" s="23"/>
      <c r="AG168" s="23"/>
      <c r="AH168" s="23"/>
      <c r="AI168" s="23"/>
      <c r="AJ168" s="23"/>
    </row>
    <row r="169" spans="4:36" ht="15" customHeight="1" x14ac:dyDescent="0.25">
      <c r="D169" s="23"/>
      <c r="E169" s="23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23"/>
      <c r="AF169" s="23"/>
      <c r="AG169" s="23"/>
      <c r="AH169" s="23"/>
      <c r="AI169" s="23"/>
      <c r="AJ169" s="23"/>
    </row>
    <row r="170" spans="4:36" ht="15" customHeight="1" x14ac:dyDescent="0.25">
      <c r="D170" s="23"/>
      <c r="E170" s="23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23"/>
      <c r="AF170" s="23"/>
      <c r="AG170" s="23"/>
      <c r="AH170" s="23"/>
      <c r="AI170" s="23"/>
      <c r="AJ170" s="23"/>
    </row>
    <row r="171" spans="4:36" ht="15" customHeight="1" x14ac:dyDescent="0.25">
      <c r="D171" s="23"/>
      <c r="E171" s="23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23"/>
      <c r="AF171" s="23"/>
      <c r="AG171" s="23"/>
      <c r="AH171" s="23"/>
      <c r="AI171" s="23"/>
      <c r="AJ171" s="23"/>
    </row>
    <row r="172" spans="4:36" ht="15" customHeight="1" x14ac:dyDescent="0.25">
      <c r="D172" s="23"/>
      <c r="E172" s="23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23"/>
      <c r="AF172" s="23"/>
      <c r="AG172" s="23"/>
      <c r="AH172" s="23"/>
      <c r="AI172" s="23"/>
      <c r="AJ172" s="23"/>
    </row>
    <row r="173" spans="4:36" ht="15" customHeight="1" x14ac:dyDescent="0.25">
      <c r="D173" s="23"/>
      <c r="E173" s="23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23"/>
      <c r="AF173" s="23"/>
      <c r="AG173" s="23"/>
      <c r="AH173" s="23"/>
      <c r="AI173" s="23"/>
      <c r="AJ173" s="23"/>
    </row>
    <row r="174" spans="4:36" ht="15" customHeight="1" x14ac:dyDescent="0.25">
      <c r="D174" s="23"/>
      <c r="E174" s="23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23"/>
      <c r="AF174" s="23"/>
      <c r="AG174" s="23"/>
      <c r="AH174" s="23"/>
      <c r="AI174" s="23"/>
      <c r="AJ174" s="23"/>
    </row>
    <row r="175" spans="4:36" ht="15" customHeight="1" x14ac:dyDescent="0.25">
      <c r="D175" s="23"/>
      <c r="E175" s="23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23"/>
      <c r="AF175" s="23"/>
      <c r="AG175" s="23"/>
      <c r="AH175" s="23"/>
      <c r="AI175" s="23"/>
      <c r="AJ175" s="23"/>
    </row>
    <row r="176" spans="4:36" ht="15" customHeight="1" x14ac:dyDescent="0.25">
      <c r="D176" s="23"/>
      <c r="E176" s="23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23"/>
      <c r="AF176" s="23"/>
      <c r="AG176" s="23"/>
      <c r="AH176" s="23"/>
      <c r="AI176" s="23"/>
      <c r="AJ176" s="23"/>
    </row>
    <row r="177" spans="4:36" ht="15" customHeight="1" x14ac:dyDescent="0.25">
      <c r="D177" s="23"/>
      <c r="E177" s="23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23"/>
      <c r="AF177" s="23"/>
      <c r="AG177" s="23"/>
      <c r="AH177" s="23"/>
      <c r="AI177" s="23"/>
      <c r="AJ177" s="23"/>
    </row>
    <row r="178" spans="4:36" ht="15" customHeight="1" x14ac:dyDescent="0.25">
      <c r="D178" s="23"/>
      <c r="E178" s="23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23"/>
      <c r="AF178" s="23"/>
      <c r="AG178" s="23"/>
      <c r="AH178" s="23"/>
      <c r="AI178" s="23"/>
      <c r="AJ178" s="23"/>
    </row>
    <row r="179" spans="4:36" ht="15" customHeight="1" x14ac:dyDescent="0.25">
      <c r="D179" s="23"/>
      <c r="E179" s="23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23"/>
      <c r="AF179" s="23"/>
      <c r="AG179" s="23"/>
      <c r="AH179" s="23"/>
      <c r="AI179" s="23"/>
      <c r="AJ179" s="23"/>
    </row>
    <row r="180" spans="4:36" ht="15" customHeight="1" x14ac:dyDescent="0.25">
      <c r="D180" s="23"/>
      <c r="E180" s="23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23"/>
      <c r="AF180" s="23"/>
      <c r="AG180" s="23"/>
      <c r="AH180" s="23"/>
      <c r="AI180" s="23"/>
      <c r="AJ180" s="23"/>
    </row>
    <row r="181" spans="4:36" ht="15" customHeight="1" x14ac:dyDescent="0.25">
      <c r="D181" s="23"/>
      <c r="E181" s="23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23"/>
      <c r="AF181" s="23"/>
      <c r="AG181" s="23"/>
      <c r="AH181" s="23"/>
      <c r="AI181" s="23"/>
      <c r="AJ181" s="23"/>
    </row>
    <row r="182" spans="4:36" ht="15" customHeight="1" x14ac:dyDescent="0.25">
      <c r="D182" s="23"/>
      <c r="E182" s="23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23"/>
      <c r="AF182" s="23"/>
      <c r="AG182" s="23"/>
      <c r="AH182" s="23"/>
      <c r="AI182" s="23"/>
      <c r="AJ182" s="23"/>
    </row>
    <row r="183" spans="4:36" ht="15" customHeight="1" x14ac:dyDescent="0.25">
      <c r="D183" s="23"/>
      <c r="E183" s="23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23"/>
      <c r="AF183" s="23"/>
      <c r="AG183" s="23"/>
      <c r="AH183" s="23"/>
      <c r="AI183" s="23"/>
      <c r="AJ183" s="23"/>
    </row>
    <row r="184" spans="4:36" ht="15" customHeight="1" x14ac:dyDescent="0.25">
      <c r="D184" s="23"/>
      <c r="E184" s="23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23"/>
      <c r="AF184" s="23"/>
      <c r="AG184" s="23"/>
      <c r="AH184" s="23"/>
      <c r="AI184" s="23"/>
      <c r="AJ184" s="23"/>
    </row>
    <row r="185" spans="4:36" ht="15" customHeight="1" x14ac:dyDescent="0.25">
      <c r="D185" s="23"/>
      <c r="E185" s="23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23"/>
      <c r="AF185" s="23"/>
      <c r="AG185" s="23"/>
      <c r="AH185" s="23"/>
      <c r="AI185" s="23"/>
      <c r="AJ185" s="23"/>
    </row>
    <row r="186" spans="4:36" ht="15" customHeight="1" x14ac:dyDescent="0.25">
      <c r="D186" s="23"/>
      <c r="E186" s="23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23"/>
      <c r="AF186" s="23"/>
      <c r="AG186" s="23"/>
      <c r="AH186" s="23"/>
      <c r="AI186" s="23"/>
      <c r="AJ186" s="23"/>
    </row>
    <row r="187" spans="4:36" ht="15" customHeight="1" x14ac:dyDescent="0.25">
      <c r="D187" s="23"/>
      <c r="E187" s="23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23"/>
      <c r="AF187" s="23"/>
      <c r="AG187" s="23"/>
      <c r="AH187" s="23"/>
      <c r="AI187" s="23"/>
      <c r="AJ187" s="23"/>
    </row>
    <row r="188" spans="4:36" ht="15" customHeight="1" x14ac:dyDescent="0.25">
      <c r="D188" s="23"/>
      <c r="E188" s="23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23"/>
      <c r="AF188" s="23"/>
      <c r="AG188" s="23"/>
      <c r="AH188" s="23"/>
      <c r="AI188" s="23"/>
      <c r="AJ188" s="23"/>
    </row>
    <row r="189" spans="4:36" ht="15" customHeight="1" x14ac:dyDescent="0.25">
      <c r="D189" s="23"/>
      <c r="E189" s="23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23"/>
      <c r="AF189" s="23"/>
      <c r="AG189" s="23"/>
      <c r="AH189" s="23"/>
      <c r="AI189" s="23"/>
      <c r="AJ189" s="23"/>
    </row>
    <row r="190" spans="4:36" ht="15" customHeight="1" x14ac:dyDescent="0.25">
      <c r="D190" s="23"/>
      <c r="E190" s="23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23"/>
      <c r="AF190" s="23"/>
      <c r="AG190" s="23"/>
      <c r="AH190" s="23"/>
      <c r="AI190" s="23"/>
      <c r="AJ190" s="23"/>
    </row>
    <row r="191" spans="4:36" ht="15" customHeight="1" x14ac:dyDescent="0.25">
      <c r="D191" s="23"/>
      <c r="E191" s="23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23"/>
      <c r="AF191" s="23"/>
      <c r="AG191" s="23"/>
      <c r="AH191" s="23"/>
      <c r="AI191" s="23"/>
      <c r="AJ191" s="23"/>
    </row>
    <row r="192" spans="4:36" ht="15" customHeight="1" x14ac:dyDescent="0.25">
      <c r="D192" s="23"/>
      <c r="E192" s="23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23"/>
      <c r="AF192" s="23"/>
      <c r="AG192" s="23"/>
      <c r="AH192" s="23"/>
      <c r="AI192" s="23"/>
      <c r="AJ192" s="23"/>
    </row>
    <row r="193" spans="4:36" ht="15" customHeight="1" x14ac:dyDescent="0.25">
      <c r="D193" s="23"/>
      <c r="E193" s="23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23"/>
      <c r="AF193" s="23"/>
      <c r="AG193" s="23"/>
      <c r="AH193" s="23"/>
      <c r="AI193" s="23"/>
      <c r="AJ193" s="23"/>
    </row>
    <row r="194" spans="4:36" ht="15" customHeight="1" x14ac:dyDescent="0.25">
      <c r="D194" s="23"/>
      <c r="E194" s="23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23"/>
      <c r="AF194" s="23"/>
      <c r="AG194" s="23"/>
      <c r="AH194" s="23"/>
      <c r="AI194" s="23"/>
      <c r="AJ194" s="23"/>
    </row>
    <row r="195" spans="4:36" ht="15" customHeight="1" x14ac:dyDescent="0.25">
      <c r="D195" s="23"/>
      <c r="E195" s="23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23"/>
      <c r="AF195" s="23"/>
      <c r="AG195" s="23"/>
      <c r="AH195" s="23"/>
      <c r="AI195" s="23"/>
      <c r="AJ195" s="23"/>
    </row>
    <row r="196" spans="4:36" ht="15" customHeight="1" x14ac:dyDescent="0.25">
      <c r="D196" s="23"/>
      <c r="E196" s="23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23"/>
      <c r="AF196" s="23"/>
      <c r="AG196" s="23"/>
      <c r="AH196" s="23"/>
      <c r="AI196" s="23"/>
      <c r="AJ196" s="23"/>
    </row>
    <row r="197" spans="4:36" ht="15" customHeight="1" x14ac:dyDescent="0.25">
      <c r="D197" s="23"/>
      <c r="E197" s="23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23"/>
      <c r="AF197" s="23"/>
      <c r="AG197" s="23"/>
      <c r="AH197" s="23"/>
      <c r="AI197" s="23"/>
      <c r="AJ197" s="23"/>
    </row>
    <row r="198" spans="4:36" ht="15" customHeight="1" x14ac:dyDescent="0.25">
      <c r="D198" s="23"/>
      <c r="E198" s="23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23"/>
      <c r="AF198" s="23"/>
      <c r="AG198" s="23"/>
      <c r="AH198" s="23"/>
      <c r="AI198" s="23"/>
      <c r="AJ198" s="23"/>
    </row>
    <row r="199" spans="4:36" ht="15" customHeight="1" x14ac:dyDescent="0.25">
      <c r="D199" s="23"/>
      <c r="E199" s="23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23"/>
      <c r="AF199" s="23"/>
      <c r="AG199" s="23"/>
      <c r="AH199" s="23"/>
      <c r="AI199" s="23"/>
      <c r="AJ199" s="23"/>
    </row>
    <row r="200" spans="4:36" ht="15" customHeight="1" x14ac:dyDescent="0.25">
      <c r="D200" s="23"/>
      <c r="E200" s="23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23"/>
      <c r="AF200" s="23"/>
      <c r="AG200" s="23"/>
      <c r="AH200" s="23"/>
      <c r="AI200" s="23"/>
      <c r="AJ200" s="23"/>
    </row>
    <row r="201" spans="4:36" ht="15" customHeight="1" x14ac:dyDescent="0.25">
      <c r="D201" s="23"/>
      <c r="E201" s="23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23"/>
      <c r="AF201" s="23"/>
      <c r="AG201" s="23"/>
      <c r="AH201" s="23"/>
      <c r="AI201" s="23"/>
      <c r="AJ201" s="23"/>
    </row>
    <row r="202" spans="4:36" ht="15" customHeight="1" x14ac:dyDescent="0.25">
      <c r="D202" s="23"/>
      <c r="E202" s="23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23"/>
      <c r="AF202" s="23"/>
      <c r="AG202" s="23"/>
      <c r="AH202" s="23"/>
      <c r="AI202" s="23"/>
      <c r="AJ202" s="23"/>
    </row>
    <row r="203" spans="4:36" ht="15" customHeight="1" x14ac:dyDescent="0.25">
      <c r="D203" s="23"/>
      <c r="E203" s="23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23"/>
      <c r="AF203" s="23"/>
      <c r="AG203" s="23"/>
      <c r="AH203" s="23"/>
      <c r="AI203" s="23"/>
      <c r="AJ203" s="23"/>
    </row>
    <row r="204" spans="4:36" ht="15" customHeight="1" x14ac:dyDescent="0.25">
      <c r="D204" s="23"/>
      <c r="E204" s="23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23"/>
      <c r="AF204" s="23"/>
      <c r="AG204" s="23"/>
      <c r="AH204" s="23"/>
      <c r="AI204" s="23"/>
      <c r="AJ204" s="23"/>
    </row>
    <row r="205" spans="4:36" ht="15" customHeight="1" x14ac:dyDescent="0.25">
      <c r="D205" s="23"/>
      <c r="E205" s="23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23"/>
      <c r="AF205" s="23"/>
      <c r="AG205" s="23"/>
      <c r="AH205" s="23"/>
      <c r="AI205" s="23"/>
      <c r="AJ205" s="23"/>
    </row>
    <row r="206" spans="4:36" ht="15" customHeight="1" x14ac:dyDescent="0.25">
      <c r="D206" s="23"/>
      <c r="E206" s="23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23"/>
      <c r="AF206" s="23"/>
      <c r="AG206" s="23"/>
      <c r="AH206" s="23"/>
      <c r="AI206" s="23"/>
      <c r="AJ206" s="23"/>
    </row>
    <row r="207" spans="4:36" ht="15" customHeight="1" x14ac:dyDescent="0.25">
      <c r="D207" s="23"/>
      <c r="E207" s="23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23"/>
      <c r="AF207" s="23"/>
      <c r="AG207" s="23"/>
      <c r="AH207" s="23"/>
      <c r="AI207" s="23"/>
      <c r="AJ207" s="23"/>
    </row>
    <row r="208" spans="4:36" ht="15" customHeight="1" x14ac:dyDescent="0.25">
      <c r="D208" s="23"/>
      <c r="E208" s="23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23"/>
      <c r="AF208" s="23"/>
      <c r="AG208" s="23"/>
      <c r="AH208" s="23"/>
      <c r="AI208" s="23"/>
      <c r="AJ208" s="23"/>
    </row>
    <row r="209" spans="4:36" ht="15" customHeight="1" x14ac:dyDescent="0.25">
      <c r="D209" s="23"/>
      <c r="E209" s="23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23"/>
      <c r="AF209" s="23"/>
      <c r="AG209" s="23"/>
      <c r="AH209" s="23"/>
      <c r="AI209" s="23"/>
      <c r="AJ209" s="23"/>
    </row>
    <row r="210" spans="4:36" ht="15" customHeight="1" x14ac:dyDescent="0.25">
      <c r="D210" s="23"/>
      <c r="E210" s="23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23"/>
      <c r="AF210" s="23"/>
      <c r="AG210" s="23"/>
      <c r="AH210" s="23"/>
      <c r="AI210" s="23"/>
      <c r="AJ210" s="23"/>
    </row>
    <row r="211" spans="4:36" ht="15" customHeight="1" x14ac:dyDescent="0.25">
      <c r="D211" s="23"/>
      <c r="E211" s="23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23"/>
      <c r="AF211" s="23"/>
      <c r="AG211" s="23"/>
      <c r="AH211" s="23"/>
      <c r="AI211" s="23"/>
      <c r="AJ211" s="23"/>
    </row>
    <row r="212" spans="4:36" ht="15" customHeight="1" x14ac:dyDescent="0.25">
      <c r="D212" s="23"/>
      <c r="E212" s="23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23"/>
      <c r="AF212" s="23"/>
      <c r="AG212" s="23"/>
      <c r="AH212" s="23"/>
      <c r="AI212" s="23"/>
      <c r="AJ212" s="23"/>
    </row>
    <row r="213" spans="4:36" ht="15" customHeight="1" x14ac:dyDescent="0.25">
      <c r="D213" s="23"/>
      <c r="E213" s="23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23"/>
      <c r="AF213" s="23"/>
      <c r="AG213" s="23"/>
      <c r="AH213" s="23"/>
      <c r="AI213" s="23"/>
      <c r="AJ213" s="23"/>
    </row>
    <row r="214" spans="4:36" ht="15" customHeight="1" x14ac:dyDescent="0.25">
      <c r="D214" s="23"/>
      <c r="E214" s="23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23"/>
      <c r="AF214" s="23"/>
      <c r="AG214" s="23"/>
      <c r="AH214" s="23"/>
      <c r="AI214" s="23"/>
      <c r="AJ214" s="23"/>
    </row>
    <row r="215" spans="4:36" ht="15" customHeight="1" x14ac:dyDescent="0.25">
      <c r="D215" s="23"/>
      <c r="E215" s="23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23"/>
      <c r="AF215" s="23"/>
      <c r="AG215" s="23"/>
      <c r="AH215" s="23"/>
      <c r="AI215" s="23"/>
      <c r="AJ215" s="23"/>
    </row>
    <row r="216" spans="4:36" ht="15" customHeight="1" x14ac:dyDescent="0.25">
      <c r="D216" s="23"/>
      <c r="E216" s="23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23"/>
      <c r="AF216" s="23"/>
      <c r="AG216" s="23"/>
      <c r="AH216" s="23"/>
      <c r="AI216" s="23"/>
      <c r="AJ216" s="23"/>
    </row>
    <row r="217" spans="4:36" ht="15" customHeight="1" x14ac:dyDescent="0.25">
      <c r="D217" s="23"/>
      <c r="E217" s="23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23"/>
      <c r="AF217" s="23"/>
      <c r="AG217" s="23"/>
      <c r="AH217" s="23"/>
      <c r="AI217" s="23"/>
      <c r="AJ217" s="23"/>
    </row>
    <row r="218" spans="4:36" ht="15" customHeight="1" x14ac:dyDescent="0.25">
      <c r="D218" s="23"/>
      <c r="E218" s="23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23"/>
      <c r="AF218" s="23"/>
      <c r="AG218" s="23"/>
      <c r="AH218" s="23"/>
      <c r="AI218" s="23"/>
      <c r="AJ218" s="23"/>
    </row>
    <row r="219" spans="4:36" ht="15" customHeight="1" x14ac:dyDescent="0.25">
      <c r="D219" s="23"/>
      <c r="E219" s="23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23"/>
      <c r="AF219" s="23"/>
      <c r="AG219" s="23"/>
      <c r="AH219" s="23"/>
      <c r="AI219" s="23"/>
      <c r="AJ219" s="23"/>
    </row>
    <row r="220" spans="4:36" ht="15" customHeight="1" x14ac:dyDescent="0.25">
      <c r="D220" s="23"/>
      <c r="E220" s="23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23"/>
      <c r="AF220" s="23"/>
      <c r="AG220" s="23"/>
      <c r="AH220" s="23"/>
      <c r="AI220" s="23"/>
      <c r="AJ220" s="23"/>
    </row>
    <row r="221" spans="4:36" ht="15" customHeight="1" x14ac:dyDescent="0.25">
      <c r="D221" s="23"/>
      <c r="E221" s="23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23"/>
      <c r="AF221" s="23"/>
      <c r="AG221" s="23"/>
      <c r="AH221" s="23"/>
      <c r="AI221" s="23"/>
      <c r="AJ221" s="23"/>
    </row>
    <row r="222" spans="4:36" ht="15" customHeight="1" x14ac:dyDescent="0.25">
      <c r="D222" s="23"/>
      <c r="E222" s="23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23"/>
      <c r="AF222" s="23"/>
      <c r="AG222" s="23"/>
      <c r="AH222" s="23"/>
      <c r="AI222" s="23"/>
      <c r="AJ222" s="23"/>
    </row>
    <row r="223" spans="4:36" ht="15" customHeight="1" x14ac:dyDescent="0.25">
      <c r="D223" s="23"/>
      <c r="E223" s="23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23"/>
      <c r="AF223" s="23"/>
      <c r="AG223" s="23"/>
      <c r="AH223" s="23"/>
      <c r="AI223" s="23"/>
      <c r="AJ223" s="23"/>
    </row>
    <row r="224" spans="4:36" ht="15" customHeight="1" x14ac:dyDescent="0.25">
      <c r="D224" s="23"/>
      <c r="E224" s="23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23"/>
      <c r="AF224" s="23"/>
      <c r="AG224" s="23"/>
      <c r="AH224" s="23"/>
      <c r="AI224" s="23"/>
      <c r="AJ224" s="23"/>
    </row>
    <row r="225" spans="4:36" ht="15" customHeight="1" x14ac:dyDescent="0.25">
      <c r="D225" s="23"/>
      <c r="E225" s="23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23"/>
      <c r="AF225" s="23"/>
      <c r="AG225" s="23"/>
      <c r="AH225" s="23"/>
      <c r="AI225" s="23"/>
      <c r="AJ225" s="23"/>
    </row>
    <row r="226" spans="4:36" ht="15" customHeight="1" x14ac:dyDescent="0.25">
      <c r="D226" s="23"/>
      <c r="E226" s="23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23"/>
      <c r="AF226" s="23"/>
      <c r="AG226" s="23"/>
      <c r="AH226" s="23"/>
      <c r="AI226" s="23"/>
      <c r="AJ226" s="23"/>
    </row>
    <row r="227" spans="4:36" ht="15" customHeight="1" x14ac:dyDescent="0.25">
      <c r="D227" s="23"/>
      <c r="E227" s="23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23"/>
      <c r="AF227" s="23"/>
      <c r="AG227" s="23"/>
      <c r="AH227" s="23"/>
      <c r="AI227" s="23"/>
      <c r="AJ227" s="23"/>
    </row>
    <row r="228" spans="4:36" ht="15" customHeight="1" x14ac:dyDescent="0.25">
      <c r="D228" s="23"/>
      <c r="E228" s="23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23"/>
      <c r="AF228" s="23"/>
      <c r="AG228" s="23"/>
      <c r="AH228" s="23"/>
      <c r="AI228" s="23"/>
      <c r="AJ228" s="23"/>
    </row>
    <row r="229" spans="4:36" ht="15" customHeight="1" x14ac:dyDescent="0.25">
      <c r="D229" s="23"/>
      <c r="E229" s="23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23"/>
      <c r="AF229" s="23"/>
      <c r="AG229" s="23"/>
      <c r="AH229" s="23"/>
      <c r="AI229" s="23"/>
      <c r="AJ229" s="23"/>
    </row>
    <row r="230" spans="4:36" ht="15" customHeight="1" x14ac:dyDescent="0.25">
      <c r="D230" s="23"/>
      <c r="E230" s="23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23"/>
      <c r="AF230" s="23"/>
      <c r="AG230" s="23"/>
      <c r="AH230" s="23"/>
      <c r="AI230" s="23"/>
      <c r="AJ230" s="23"/>
    </row>
    <row r="231" spans="4:36" ht="15" customHeight="1" x14ac:dyDescent="0.25">
      <c r="D231" s="23"/>
      <c r="E231" s="23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23"/>
      <c r="AF231" s="23"/>
      <c r="AG231" s="23"/>
      <c r="AH231" s="23"/>
      <c r="AI231" s="23"/>
      <c r="AJ231" s="23"/>
    </row>
    <row r="232" spans="4:36" ht="15" customHeight="1" x14ac:dyDescent="0.25">
      <c r="D232" s="23"/>
      <c r="E232" s="23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23"/>
      <c r="AF232" s="23"/>
      <c r="AG232" s="23"/>
      <c r="AH232" s="23"/>
      <c r="AI232" s="23"/>
      <c r="AJ232" s="23"/>
    </row>
    <row r="233" spans="4:36" ht="15" customHeight="1" x14ac:dyDescent="0.25">
      <c r="D233" s="23"/>
      <c r="E233" s="23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23"/>
      <c r="AF233" s="23"/>
      <c r="AG233" s="23"/>
      <c r="AH233" s="23"/>
      <c r="AI233" s="23"/>
      <c r="AJ233" s="23"/>
    </row>
    <row r="234" spans="4:36" ht="15" customHeight="1" x14ac:dyDescent="0.25">
      <c r="D234" s="23"/>
      <c r="E234" s="23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23"/>
      <c r="AF234" s="23"/>
      <c r="AG234" s="23"/>
      <c r="AH234" s="23"/>
      <c r="AI234" s="23"/>
      <c r="AJ234" s="23"/>
    </row>
    <row r="235" spans="4:36" ht="15" customHeight="1" x14ac:dyDescent="0.25">
      <c r="D235" s="23"/>
      <c r="E235" s="23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23"/>
      <c r="AF235" s="23"/>
      <c r="AG235" s="23"/>
      <c r="AH235" s="23"/>
      <c r="AI235" s="23"/>
      <c r="AJ235" s="23"/>
    </row>
    <row r="236" spans="4:36" ht="15" customHeight="1" x14ac:dyDescent="0.25">
      <c r="D236" s="23"/>
      <c r="E236" s="23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23"/>
      <c r="AF236" s="23"/>
      <c r="AG236" s="23"/>
      <c r="AH236" s="23"/>
      <c r="AI236" s="23"/>
      <c r="AJ236" s="23"/>
    </row>
    <row r="237" spans="4:36" ht="15" customHeight="1" x14ac:dyDescent="0.25">
      <c r="D237" s="23"/>
      <c r="E237" s="23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23"/>
      <c r="AF237" s="23"/>
      <c r="AG237" s="23"/>
      <c r="AH237" s="23"/>
      <c r="AI237" s="23"/>
      <c r="AJ237" s="23"/>
    </row>
    <row r="238" spans="4:36" ht="15" customHeight="1" x14ac:dyDescent="0.25">
      <c r="D238" s="23"/>
      <c r="E238" s="23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23"/>
      <c r="AF238" s="23"/>
      <c r="AG238" s="23"/>
      <c r="AH238" s="23"/>
      <c r="AI238" s="23"/>
      <c r="AJ238" s="23"/>
    </row>
    <row r="239" spans="4:36" ht="15" customHeight="1" x14ac:dyDescent="0.25">
      <c r="D239" s="23"/>
      <c r="E239" s="23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23"/>
      <c r="AF239" s="23"/>
      <c r="AG239" s="23"/>
      <c r="AH239" s="23"/>
      <c r="AI239" s="23"/>
      <c r="AJ239" s="23"/>
    </row>
    <row r="240" spans="4:36" ht="15" customHeight="1" x14ac:dyDescent="0.25">
      <c r="D240" s="23"/>
      <c r="E240" s="23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23"/>
      <c r="AF240" s="23"/>
      <c r="AG240" s="23"/>
      <c r="AH240" s="23"/>
      <c r="AI240" s="23"/>
      <c r="AJ240" s="23"/>
    </row>
    <row r="241" spans="4:36" ht="15" customHeight="1" x14ac:dyDescent="0.25">
      <c r="D241" s="23"/>
      <c r="E241" s="23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23"/>
      <c r="AF241" s="23"/>
      <c r="AG241" s="23"/>
      <c r="AH241" s="23"/>
      <c r="AI241" s="23"/>
      <c r="AJ241" s="23"/>
    </row>
    <row r="242" spans="4:36" ht="15" customHeight="1" x14ac:dyDescent="0.25">
      <c r="D242" s="23"/>
      <c r="E242" s="23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23"/>
      <c r="AF242" s="23"/>
      <c r="AG242" s="23"/>
      <c r="AH242" s="23"/>
      <c r="AI242" s="23"/>
      <c r="AJ242" s="23"/>
    </row>
    <row r="243" spans="4:36" ht="15" customHeight="1" x14ac:dyDescent="0.25">
      <c r="D243" s="23"/>
      <c r="E243" s="23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23"/>
      <c r="AF243" s="23"/>
      <c r="AG243" s="23"/>
      <c r="AH243" s="23"/>
      <c r="AI243" s="23"/>
      <c r="AJ243" s="23"/>
    </row>
    <row r="244" spans="4:36" ht="15" customHeight="1" x14ac:dyDescent="0.25">
      <c r="D244" s="23"/>
      <c r="E244" s="23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23"/>
      <c r="AF244" s="23"/>
      <c r="AG244" s="23"/>
      <c r="AH244" s="23"/>
      <c r="AI244" s="23"/>
      <c r="AJ244" s="23"/>
    </row>
    <row r="245" spans="4:36" ht="15" customHeight="1" x14ac:dyDescent="0.25">
      <c r="D245" s="23"/>
      <c r="E245" s="23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23"/>
      <c r="AF245" s="23"/>
      <c r="AG245" s="23"/>
      <c r="AH245" s="23"/>
      <c r="AI245" s="23"/>
      <c r="AJ245" s="23"/>
    </row>
    <row r="246" spans="4:36" ht="15" customHeight="1" x14ac:dyDescent="0.25">
      <c r="D246" s="23"/>
      <c r="E246" s="23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23"/>
      <c r="AF246" s="23"/>
      <c r="AG246" s="23"/>
      <c r="AH246" s="23"/>
      <c r="AI246" s="23"/>
      <c r="AJ246" s="23"/>
    </row>
    <row r="247" spans="4:36" ht="15" customHeight="1" x14ac:dyDescent="0.25">
      <c r="D247" s="23"/>
      <c r="E247" s="23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23"/>
      <c r="AF247" s="23"/>
      <c r="AG247" s="23"/>
      <c r="AH247" s="23"/>
      <c r="AI247" s="23"/>
      <c r="AJ247" s="23"/>
    </row>
    <row r="248" spans="4:36" ht="15" customHeight="1" x14ac:dyDescent="0.25">
      <c r="D248" s="23"/>
      <c r="E248" s="23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23"/>
      <c r="AF248" s="23"/>
      <c r="AG248" s="23"/>
      <c r="AH248" s="23"/>
      <c r="AI248" s="23"/>
      <c r="AJ248" s="23"/>
    </row>
    <row r="249" spans="4:36" ht="15" customHeight="1" x14ac:dyDescent="0.25">
      <c r="D249" s="23"/>
      <c r="E249" s="23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23"/>
      <c r="AF249" s="23"/>
      <c r="AG249" s="23"/>
      <c r="AH249" s="23"/>
      <c r="AI249" s="23"/>
      <c r="AJ249" s="23"/>
    </row>
    <row r="250" spans="4:36" ht="15" customHeight="1" x14ac:dyDescent="0.25">
      <c r="D250" s="23"/>
      <c r="E250" s="23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23"/>
      <c r="AF250" s="23"/>
      <c r="AG250" s="23"/>
      <c r="AH250" s="23"/>
      <c r="AI250" s="23"/>
      <c r="AJ250" s="23"/>
    </row>
    <row r="251" spans="4:36" ht="15" customHeight="1" x14ac:dyDescent="0.25">
      <c r="D251" s="23"/>
      <c r="E251" s="23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23"/>
      <c r="AF251" s="23"/>
      <c r="AG251" s="23"/>
      <c r="AH251" s="23"/>
      <c r="AI251" s="23"/>
      <c r="AJ251" s="23"/>
    </row>
    <row r="252" spans="4:36" ht="15" customHeight="1" x14ac:dyDescent="0.25">
      <c r="D252" s="23"/>
      <c r="E252" s="23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23"/>
      <c r="AF252" s="23"/>
      <c r="AG252" s="23"/>
      <c r="AH252" s="23"/>
      <c r="AI252" s="23"/>
      <c r="AJ252" s="23"/>
    </row>
    <row r="253" spans="4:36" ht="15" customHeight="1" x14ac:dyDescent="0.25">
      <c r="D253" s="23"/>
      <c r="E253" s="23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23"/>
      <c r="AF253" s="23"/>
      <c r="AG253" s="23"/>
      <c r="AH253" s="23"/>
      <c r="AI253" s="23"/>
      <c r="AJ253" s="23"/>
    </row>
    <row r="254" spans="4:36" ht="15" customHeight="1" x14ac:dyDescent="0.25">
      <c r="D254" s="23"/>
      <c r="E254" s="23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23"/>
      <c r="AF254" s="23"/>
      <c r="AG254" s="23"/>
      <c r="AH254" s="23"/>
      <c r="AI254" s="23"/>
      <c r="AJ254" s="23"/>
    </row>
    <row r="255" spans="4:36" ht="15" customHeight="1" x14ac:dyDescent="0.25">
      <c r="D255" s="23"/>
      <c r="E255" s="23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23"/>
      <c r="AF255" s="23"/>
      <c r="AG255" s="23"/>
      <c r="AH255" s="23"/>
      <c r="AI255" s="23"/>
      <c r="AJ255" s="23"/>
    </row>
    <row r="256" spans="4:36" ht="15" customHeight="1" x14ac:dyDescent="0.25">
      <c r="D256" s="23"/>
      <c r="E256" s="23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23"/>
      <c r="AF256" s="23"/>
      <c r="AG256" s="23"/>
      <c r="AH256" s="23"/>
      <c r="AI256" s="23"/>
      <c r="AJ256" s="23"/>
    </row>
    <row r="257" spans="4:36" ht="15" customHeight="1" x14ac:dyDescent="0.25">
      <c r="D257" s="23"/>
      <c r="E257" s="23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23"/>
      <c r="AF257" s="23"/>
      <c r="AG257" s="23"/>
      <c r="AH257" s="23"/>
      <c r="AI257" s="23"/>
      <c r="AJ257" s="23"/>
    </row>
  </sheetData>
  <autoFilter ref="A7:E91"/>
  <pageMargins left="0.70000004768371582" right="0.70000004768371582" top="0.75" bottom="0.75" header="0.5118110179901123" footer="0.511811017990112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9"/>
  <sheetViews>
    <sheetView workbookViewId="0">
      <selection activeCell="Q1" sqref="Q1:R1"/>
    </sheetView>
  </sheetViews>
  <sheetFormatPr defaultColWidth="9.140625" defaultRowHeight="14.25" customHeight="1" x14ac:dyDescent="0.25"/>
  <cols>
    <col min="9" max="9" width="12" style="40" customWidth="1"/>
    <col min="10" max="10" width="12.5703125" style="40" customWidth="1"/>
    <col min="11" max="11" width="7.85546875" style="40" customWidth="1"/>
    <col min="12" max="12" width="8" style="40" customWidth="1"/>
    <col min="13" max="13" width="7.7109375" style="40" customWidth="1"/>
    <col min="14" max="14" width="8" style="40" customWidth="1"/>
    <col min="15" max="15" width="13.42578125" style="40" customWidth="1"/>
    <col min="16" max="16" width="6.85546875" customWidth="1"/>
    <col min="17" max="17" width="18.7109375" customWidth="1"/>
    <col min="18" max="18" width="35" style="55" customWidth="1"/>
    <col min="19" max="19" width="9.7109375" style="75" customWidth="1"/>
    <col min="23" max="23" width="9" style="40" customWidth="1"/>
    <col min="28" max="28" width="11" customWidth="1"/>
    <col min="30" max="30" width="13.85546875" customWidth="1"/>
    <col min="32" max="32" width="26.140625" customWidth="1"/>
  </cols>
  <sheetData>
    <row r="1" spans="1:53" s="55" customFormat="1" ht="74.25" customHeight="1" x14ac:dyDescent="0.25">
      <c r="A1" s="77" t="s">
        <v>1</v>
      </c>
      <c r="B1" s="118" t="s">
        <v>80</v>
      </c>
      <c r="C1" s="118"/>
      <c r="D1" s="118"/>
      <c r="E1" s="118"/>
      <c r="F1" s="118"/>
      <c r="J1" s="77" t="s">
        <v>6</v>
      </c>
      <c r="K1" s="118" t="s">
        <v>81</v>
      </c>
      <c r="L1" s="118"/>
      <c r="M1" s="118"/>
      <c r="N1" s="118"/>
      <c r="P1" s="77" t="s">
        <v>171</v>
      </c>
      <c r="Q1" s="117" t="s">
        <v>170</v>
      </c>
      <c r="R1" s="117"/>
      <c r="S1" s="78" t="s">
        <v>7</v>
      </c>
      <c r="T1" s="116" t="s">
        <v>172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</row>
    <row r="2" spans="1:53" ht="63.75" customHeight="1" x14ac:dyDescent="0.25">
      <c r="A2" s="76"/>
      <c r="B2" s="113"/>
      <c r="C2" s="114"/>
      <c r="D2" s="114"/>
      <c r="E2" s="114"/>
      <c r="F2" s="115"/>
      <c r="J2" s="52"/>
      <c r="K2" s="64" t="s">
        <v>16</v>
      </c>
      <c r="L2" s="64" t="s">
        <v>19</v>
      </c>
      <c r="M2" s="64" t="s">
        <v>18</v>
      </c>
      <c r="N2" s="64" t="s">
        <v>20</v>
      </c>
      <c r="O2" s="60" t="s">
        <v>82</v>
      </c>
      <c r="Q2" s="65" t="s">
        <v>140</v>
      </c>
      <c r="R2" s="65" t="s">
        <v>141</v>
      </c>
      <c r="S2" s="79"/>
      <c r="T2" s="89" t="s">
        <v>16</v>
      </c>
      <c r="U2" s="89" t="s">
        <v>19</v>
      </c>
      <c r="V2" s="89" t="s">
        <v>18</v>
      </c>
      <c r="W2" s="89" t="s">
        <v>20</v>
      </c>
      <c r="X2" s="90" t="s">
        <v>83</v>
      </c>
      <c r="Y2" s="94" t="s">
        <v>153</v>
      </c>
      <c r="Z2" s="94" t="s">
        <v>154</v>
      </c>
      <c r="AA2" s="94" t="s">
        <v>155</v>
      </c>
      <c r="AB2" s="94" t="s">
        <v>107</v>
      </c>
      <c r="AC2" s="94" t="s">
        <v>156</v>
      </c>
      <c r="AD2" s="94" t="s">
        <v>157</v>
      </c>
      <c r="AE2" s="94" t="s">
        <v>158</v>
      </c>
      <c r="AF2" s="95" t="s">
        <v>159</v>
      </c>
      <c r="AG2" s="96" t="s">
        <v>160</v>
      </c>
      <c r="AH2" s="96" t="s">
        <v>161</v>
      </c>
      <c r="AI2" s="96" t="s">
        <v>162</v>
      </c>
      <c r="AJ2" s="96" t="s">
        <v>163</v>
      </c>
      <c r="AK2" s="96" t="s">
        <v>164</v>
      </c>
      <c r="AL2" s="96" t="s">
        <v>165</v>
      </c>
      <c r="AM2" s="96" t="s">
        <v>166</v>
      </c>
      <c r="AN2" s="96" t="s">
        <v>167</v>
      </c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</row>
    <row r="3" spans="1:53" ht="129.75" customHeight="1" x14ac:dyDescent="0.35">
      <c r="A3" s="107" t="s">
        <v>84</v>
      </c>
      <c r="B3" s="50">
        <v>1</v>
      </c>
      <c r="C3" s="51" t="s">
        <v>85</v>
      </c>
      <c r="D3" s="51" t="s">
        <v>86</v>
      </c>
      <c r="E3" s="51" t="s">
        <v>87</v>
      </c>
      <c r="F3" s="51" t="s">
        <v>88</v>
      </c>
      <c r="G3" s="49"/>
      <c r="H3" s="30" t="s">
        <v>89</v>
      </c>
      <c r="J3">
        <v>1</v>
      </c>
      <c r="K3" s="63">
        <f>IFERROR(VALUE(INDEX(Тест_в2!C10:C13, MATCH("A", C3:F3, 0))), 0)</f>
        <v>3</v>
      </c>
      <c r="L3" s="63">
        <f>IFERROR(VALUE(INDEX(Тест_в2!C10:C13, MATCH("B", C3:F3, 0))), 0)</f>
        <v>1</v>
      </c>
      <c r="M3" s="63">
        <f>IFERROR(VALUE(INDEX(Тест_в2!C10:C13, MATCH("C", C3:F3, 0))), 0)</f>
        <v>0</v>
      </c>
      <c r="N3" s="63">
        <f>IFERROR(VALUE(INDEX(Тест_в2!C10:C13, MATCH("D", C3:F3, 0))), 0)</f>
        <v>3</v>
      </c>
      <c r="O3">
        <f t="shared" ref="O3:O17" si="0">SUM(K3:N3)</f>
        <v>7</v>
      </c>
      <c r="Q3" s="111" t="s">
        <v>169</v>
      </c>
      <c r="R3" s="61" t="s">
        <v>110</v>
      </c>
      <c r="S3" s="80"/>
      <c r="T3" s="91">
        <f>K17</f>
        <v>42</v>
      </c>
      <c r="U3" s="91">
        <f>L17</f>
        <v>7</v>
      </c>
      <c r="V3" s="91">
        <f>M17</f>
        <v>7</v>
      </c>
      <c r="W3" s="91">
        <f>N17</f>
        <v>42</v>
      </c>
      <c r="X3" s="91">
        <f>MATCH(MAX(T3:W3),T3:W3,0)</f>
        <v>1</v>
      </c>
      <c r="Y3" s="97">
        <v>5</v>
      </c>
      <c r="Z3" s="97">
        <f>MAX(T3:W3)</f>
        <v>42</v>
      </c>
      <c r="AA3" s="97">
        <f>COUNTIF(T3:W3,"&gt;="&amp;(Z3-Y3))</f>
        <v>2</v>
      </c>
      <c r="AB3" s="97" t="str">
        <f>IF(AA3=1,"Сфокусированный",IF(AA3=2,"Двухвекторный",IF(AA3=3,"Широкий",IF(AA3=4,"Сбалансированный","Ошибка"))))</f>
        <v>Двухвекторный</v>
      </c>
      <c r="AC3" s="97">
        <f>IF(T3&gt;=Z3-Y3,1,0)+IF(U3&gt;=Z3-Y3,2,0)+IF(V3&gt;=Z3-Y3,4,0)+IF(W3&gt;=Z3-Y3,8,0)</f>
        <v>9</v>
      </c>
      <c r="AD3" s="97" t="str">
        <f>IF('[1]Механика подсчета результатов'!$AA$3=1,'[1]Механика подсчета результатов'!$AK$3,IF('[1]Механика подсчета результатов'!$AA$3=2,'[1]Механика подсчета результатов'!$AK$3&amp;" и "&amp;'[1]Механика подсчета результатов'!$AL$3,IF('[1]Механика подсчета результатов'!$AA$3=3,'[1]Механика подсчета результатов'!$AK$3&amp;", "&amp;'[1]Механика подсчета результатов'!$AL$3&amp;", "&amp;'[1]Механика подсчета результатов'!$AM$3,'[1]Механика подсчета результатов'!$AK$3&amp;", "&amp;'[1]Механика подсчета результатов'!$AL$3&amp;", "&amp;'[1]Механика подсчета результатов'!$AM$3&amp;" и "&amp;'[1]Механика подсчета результатов'!$AN$3)))</f>
        <v>Целеустремленный и Процессный</v>
      </c>
      <c r="AE3" s="97" t="str">
        <f>IF(SUM(T3:W3)=98,"OK","Проверить сумму")</f>
        <v>OK</v>
      </c>
      <c r="AF3" s="98" t="s">
        <v>168</v>
      </c>
      <c r="AG3" s="92">
        <f>IF('[1]Механика подсчета результатов'!$T$3&gt;='[1]Механика подсчета результатов'!$Z$3-'[1]Механика подсчета результатов'!$Y$3,'[1]Механика подсчета результатов'!$T$3*10+4,-1)</f>
        <v>394</v>
      </c>
      <c r="AH3" s="92">
        <f>IF('[1]Механика подсчета результатов'!$U$3&gt;='[1]Механика подсчета результатов'!$Z$3-'[1]Механика подсчета результатов'!$Y$3,'[1]Механика подсчета результатов'!$U$3*10+3,-1)</f>
        <v>-1</v>
      </c>
      <c r="AI3" s="92">
        <f>IF('[1]Механика подсчета результатов'!$V$3&gt;='[1]Механика подсчета результатов'!$Z$3-'[1]Механика подсчета результатов'!$Y$3,'[1]Механика подсчета результатов'!$V$3*10+2,-1)</f>
        <v>-1</v>
      </c>
      <c r="AJ3" s="92">
        <f>IF('[1]Механика подсчета результатов'!$W$3&gt;='[1]Механика подсчета результатов'!$Z$3-'[1]Механика подсчета результатов'!$Y$3,'[1]Механика подсчета результатов'!$W$3*10+1,-1)</f>
        <v>421</v>
      </c>
      <c r="AK3" s="92" t="str">
        <f>IF('[1]Механика подсчета результатов'!$T$3&gt;='[1]Механика подсчета результатов'!$Z$3-'[1]Механика подсчета результатов'!$Y$3,'[1]Механика подсчета результатов'!$T$2,IF('[1]Механика подсчета результатов'!$U$3&gt;='[1]Механика подсчета результатов'!$Z$3-'[1]Механика подсчета результатов'!$Y$3,'[1]Механика подсчета результатов'!$U$2,IF('[1]Механика подсчета результатов'!$V$3&gt;='[1]Механика подсчета результатов'!$Z$3-'[1]Механика подсчета результатов'!$Y$3,'[1]Механика подсчета результатов'!$V$2,IF('[1]Механика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результатов'!$W$2,""))))</f>
        <v>Целеустремленный</v>
      </c>
      <c r="AL3" s="92" t="str">
        <f>IF('[1]Механика подсчета результатов'!$AA$3&gt;=2,IF('[1]Механика подсчета результатов'!$T$3&gt;='[1]Механика подсчета результатов'!$Z$3-'[1]Механика подсчета результатов'!$Y$3,IF('[1]Механика подсчета результатов'!$U$3&gt;='[1]Механика подсчета результатов'!$Z$3-'[1]Механика подсчета результатов'!$Y$3,'[1]Механика подсчета результатов'!$U$2,IF('[1]Механика подсчета результатов'!$V$3&gt;='[1]Механика подсчета результатов'!$Z$3-'[1]Механика подсчета результатов'!$Y$3,'[1]Механика подсчета результатов'!$V$2,IF('[1]Механика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результатов'!$W$2,""))),IF('[1]Механика подсчета результатов'!$U$3&gt;='[1]Механика подсчета результатов'!$Z$3-'[1]Механика подсчета результатов'!$Y$3,IF('[1]Механика подсчета результатов'!$V$3&gt;='[1]Механика подсчета результатов'!$Z$3-'[1]Механика подсчета результатов'!$Y$3,'[1]Механика подсчета результатов'!$V$2,IF('[1]Механика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результатов'!$W$2,"")),IF('[1]Механика подсчета результатов'!$V$3&gt;='[1]Механика подсчета результатов'!$Z$3-'[1]Механика подсчета результатов'!$Y$3,IF('[1]Механика подсчета результатов'!$W$3&gt;='[1]Механика подсчета результатов'!$Z$3-'[1]Механика подсчета результатов'!$Y$3,'[1]Механика подсчета результатов'!$W$2,""),IF('[1]Механика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результатов'!$W$2,"")))),"")</f>
        <v>Процессный</v>
      </c>
      <c r="AM3" s="92" t="str">
        <f>IF('[1]Механика подсчета результатов'!$AA$3&gt;=3,IF('[1]Механика подсчета результатов'!$T$3&gt;='[1]Механика подсчета результатов'!$Z$3-'[1]Механика подсчета результатов'!$Y$3,IF('[1]Механика подсчета результатов'!$U$3&gt;='[1]Механика подсчета результатов'!$Z$3-'[1]Механика подсчета результатов'!$Y$3,IF('[1]Механика подсчета результатов'!$V$3&gt;='[1]Механика подсчета результатов'!$Z$3-'[1]Механика подсчета результатов'!$Y$3,'[1]Механика подсчета результатов'!$V$2,IF('[1]Механика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результатов'!$W$2,"")),IF('[1]Механика подсчета результатов'!$V$3&gt;='[1]Механика подсчета результатов'!$Z$3-'[1]Механика подсчета результатов'!$Y$3,IF('[1]Механика подсчета результатов'!$W$3&gt;='[1]Механика подсчета результатов'!$Z$3-'[1]Механика подсчета результатов'!$Y$3,'[1]Механика подсчета результатов'!$W$2,""),IF('[1]Механика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результатов'!$W$2,""))),IF('[1]Механика подсчета результатов'!$U$3&gt;='[1]Механика подсчета результатов'!$Z$3-'[1]Механика подсчета результатов'!$Y$3,IF('[1]Механика подсчета результатов'!$V$3&gt;='[1]Механика подсчета результатов'!$Z$3-'[1]Механика подсчета результатов'!$Y$3,IF('[1]Механика подсчета результатов'!$W$3&gt;='[1]Механика подсчета результатов'!$Z$3-'[1]Механика подсчета результатов'!$Y$3,'[1]Механика подсчета результатов'!$W$2,""),IF('[1]Механика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результатов'!$W$2,"")),IF('[1]Механика подсчета результатов'!$V$3&gt;='[1]Механика подсчета результатов'!$Z$3-'[1]Механика подсчета результатов'!$Y$3,IF('[1]Механика подсчета результатов'!$W$3&gt;='[1]Механика подсчета результатов'!$Z$3-'[1]Механика подсчета результатов'!$Y$3,'[1]Механика подсчета результатов'!$W$2,""),IF('[1]Механика подсчета результатов'!$W$3&gt;='[1]Механика подсчета результатов'!$Z$3-'[1]Механика подсчета результатов'!$Y$3,'[1]Механика подсчета результатов'!$W$2,"")))),"")</f>
        <v/>
      </c>
      <c r="AN3" s="92" t="str">
        <f>IF('[1]Механика подсчета результатов'!$AA$3&gt;=4,IF('[1]Механика подсчета результатов'!$T$3&gt;='[1]Механика подсчета результатов'!$Z$3-'[1]Механика подсчета результатов'!$Y$3,IF('[1]Механика подсчета результатов'!$U$3&gt;='[1]Механика подсчета результатов'!$Z$3-'[1]Механика подсчета результатов'!$Y$3,IF('[1]Механика подсчета результатов'!$V$3&gt;='[1]Механика подсчета результатов'!$Z$3-'[1]Механика подсчета результатов'!$Y$3,IF('[1]Механика подсчета результатов'!$W$3&gt;='[1]Механика подсчета результатов'!$Z$3-'[1]Механика подсчета результатов'!$Y$3,'[1]Механика подсчета результатов'!$W$2,""),""),""),""),"")</f>
        <v/>
      </c>
      <c r="AO3" s="92">
        <f>IF('[1]Механика подсчета результатов'!$T$3&lt;('[1]Механика подсчета результатов'!$Z$3-'[1]Механика подсчета результатов'!$Y$3),'[1]Механика подсчета результатов'!$T$3*10+4,-1)</f>
        <v>-1</v>
      </c>
      <c r="AP3" s="92">
        <f>IF('[1]Механика подсчета результатов'!$U$3&lt;('[1]Механика подсчета результатов'!$Z$3-'[1]Механика подсчета результатов'!$Y$3),'[1]Механика подсчета результатов'!$U$3*10+3,-1)</f>
        <v>93</v>
      </c>
      <c r="AQ3" s="92">
        <f>IF('[1]Механика подсчета результатов'!$V$3&lt;('[1]Механика подсчета результатов'!$Z$3-'[1]Механика подсчета результатов'!$Y$3),'[1]Механика подсчета результатов'!$V$3*10+2,-1)</f>
        <v>82</v>
      </c>
      <c r="AR3" s="92">
        <f>IF('[1]Механика подсчета результатов'!$W$3&lt;('[1]Механика подсчета результатов'!$Z$3-'[1]Механика подсчета результатов'!$Y$3),'[1]Механика подсчета результатов'!$W$3*10+1,-1)</f>
        <v>-1</v>
      </c>
      <c r="AS3" s="92" t="str">
        <f>IF(1&lt;=(4-'[1]Механика подсчета результатов'!$AA$3),IFERROR(INDEX('[1]Механика подсчета результатов'!$T$2:$W$2,1,MATCH(LARGE('[1]Механика подсчета результатов'!$AO$3:$AR$3,1),'[1]Механика подсчета результатов'!$AO$3:$AR$3,0)),""),"")</f>
        <v>Вдохновляющий</v>
      </c>
      <c r="AT3" s="92"/>
      <c r="AU3" s="92" t="str">
        <f>IF(2&lt;=(4-'[1]Механика подсчета результатов'!$AA$3),IFERROR(INDEX('[1]Механика подсчета результатов'!$T$2:$W$2,1,MATCH(LARGE('[1]Механика подсчета результатов'!$AO$3:$AR$3,2),'[1]Механика подсчета результатов'!$AO$3:$AR$3,0)),""),"")</f>
        <v>Командный</v>
      </c>
      <c r="AV3" s="92"/>
      <c r="AW3" s="92" t="str">
        <f>IF(3&lt;=(4-'[1]Механика подсчета результатов'!$AA$3),IFERROR(INDEX('[1]Механика подсчета результатов'!$T$2:$W$2,1,MATCH(LARGE('[1]Механика подсчета результатов'!$AO$3:$AR$3,3),'[1]Механика подсчета результатов'!$AO$3:$AR$3,0)),""),"")</f>
        <v/>
      </c>
      <c r="AX3" s="92"/>
      <c r="AY3" s="92" t="str">
        <f>IF('[1]Механика подсчета результатов'!$AA$3=1,"Сфокусированный",IF('[1]Механика подсчета результатов'!$AA$3=2,"Двухвекторный профиль",IF('[1]Механика подсчета результатов'!$AA$3=3,"Широкий профиль","Сбалансированный профиль")))</f>
        <v>Двухвекторный профиль</v>
      </c>
      <c r="AZ3" s="92"/>
      <c r="BA3" s="92"/>
    </row>
    <row r="4" spans="1:53" ht="40.5" customHeight="1" x14ac:dyDescent="0.35">
      <c r="A4" s="108"/>
      <c r="B4" s="50">
        <v>2</v>
      </c>
      <c r="C4" s="51" t="s">
        <v>88</v>
      </c>
      <c r="D4" s="51" t="s">
        <v>85</v>
      </c>
      <c r="E4" s="51" t="s">
        <v>86</v>
      </c>
      <c r="F4" s="51" t="s">
        <v>87</v>
      </c>
      <c r="G4" s="49"/>
      <c r="H4" s="30" t="s">
        <v>90</v>
      </c>
      <c r="J4">
        <v>2</v>
      </c>
      <c r="K4" s="18">
        <f>IFERROR(VALUE(INDEX(Тест_в2!C16:C19, MATCH("A", C4:F4, 0))), 0)</f>
        <v>3</v>
      </c>
      <c r="L4" s="18">
        <f>IFERROR(VALUE(INDEX(Тест_в2!C16:C19, MATCH("B", C4:F4, 0))), 0)</f>
        <v>1</v>
      </c>
      <c r="M4" s="18">
        <f>IFERROR(VALUE(INDEX(Тест_в2!C16:C19, MATCH("C", C4:F4, 0))), 0)</f>
        <v>0</v>
      </c>
      <c r="N4" s="18">
        <f>IFERROR(VALUE(INDEX(Тест_в2!C16:C19, MATCH("D", C4:F4, 0))), 0)</f>
        <v>3</v>
      </c>
      <c r="O4">
        <f t="shared" si="0"/>
        <v>7</v>
      </c>
      <c r="Q4" s="111"/>
      <c r="R4" s="61" t="s">
        <v>111</v>
      </c>
      <c r="S4" s="80"/>
    </row>
    <row r="5" spans="1:53" ht="36" customHeight="1" x14ac:dyDescent="0.35">
      <c r="A5" s="108"/>
      <c r="B5" s="50">
        <v>3</v>
      </c>
      <c r="C5" s="51" t="s">
        <v>86</v>
      </c>
      <c r="D5" s="51" t="s">
        <v>85</v>
      </c>
      <c r="E5" s="51" t="s">
        <v>88</v>
      </c>
      <c r="F5" s="51" t="s">
        <v>87</v>
      </c>
      <c r="G5" s="49"/>
      <c r="H5" s="30" t="s">
        <v>91</v>
      </c>
      <c r="J5">
        <v>3</v>
      </c>
      <c r="K5" s="18">
        <f>IFERROR(VALUE(INDEX(Тест_в2!C22:C25, MATCH("A", C5:F5, 0))), 0)</f>
        <v>3</v>
      </c>
      <c r="L5" s="18">
        <f>IFERROR(VALUE(INDEX(Тест_в2!C22:C25, MATCH("B", C5:F5, 0))), 0)</f>
        <v>1</v>
      </c>
      <c r="M5" s="18">
        <f>IFERROR(VALUE(INDEX(Тест_в2!C22:C25, MATCH("C", C5:F5, 0))), 0)</f>
        <v>0</v>
      </c>
      <c r="N5" s="18">
        <f>IFERROR(VALUE(INDEX(Тест_в2!C22:C25, MATCH("D", C5:F5, 0))), 0)</f>
        <v>3</v>
      </c>
      <c r="O5">
        <f t="shared" si="0"/>
        <v>7</v>
      </c>
      <c r="Q5" s="111"/>
      <c r="R5" s="61" t="s">
        <v>18</v>
      </c>
      <c r="S5" s="80"/>
    </row>
    <row r="6" spans="1:53" ht="36" customHeight="1" x14ac:dyDescent="0.35">
      <c r="A6" s="108"/>
      <c r="B6" s="50">
        <v>4</v>
      </c>
      <c r="C6" s="51" t="s">
        <v>87</v>
      </c>
      <c r="D6" s="51" t="s">
        <v>88</v>
      </c>
      <c r="E6" s="51" t="s">
        <v>85</v>
      </c>
      <c r="F6" s="51" t="s">
        <v>86</v>
      </c>
      <c r="G6" s="49"/>
      <c r="H6" s="30" t="s">
        <v>92</v>
      </c>
      <c r="J6">
        <v>4</v>
      </c>
      <c r="K6" s="18">
        <f>IFERROR(VALUE(INDEX(Тест_в2!C28:C31, MATCH("A", C6:F6, 0))), 0)</f>
        <v>3</v>
      </c>
      <c r="L6" s="18">
        <f>IFERROR(VALUE(INDEX(Тест_в2!C28:C31, MATCH("B", C6:F6, 0))), 0)</f>
        <v>0</v>
      </c>
      <c r="M6" s="18">
        <f>IFERROR(VALUE(INDEX(Тест_в2!C28:C31, MATCH("C", C6:F6, 0))), 0)</f>
        <v>1</v>
      </c>
      <c r="N6" s="18">
        <f>IFERROR(VALUE(INDEX(Тест_в2!C28:C31, MATCH("D", C6:F6, 0))), 0)</f>
        <v>3</v>
      </c>
      <c r="O6">
        <f t="shared" si="0"/>
        <v>7</v>
      </c>
      <c r="Q6" s="111"/>
      <c r="R6" s="61" t="s">
        <v>20</v>
      </c>
      <c r="S6" s="80"/>
      <c r="AD6" s="82"/>
    </row>
    <row r="7" spans="1:53" ht="55.5" customHeight="1" x14ac:dyDescent="0.35">
      <c r="A7" s="108"/>
      <c r="B7" s="50">
        <v>5</v>
      </c>
      <c r="C7" s="51" t="s">
        <v>86</v>
      </c>
      <c r="D7" s="51" t="s">
        <v>87</v>
      </c>
      <c r="E7" s="51" t="s">
        <v>88</v>
      </c>
      <c r="F7" s="51" t="s">
        <v>85</v>
      </c>
      <c r="G7" s="49"/>
      <c r="J7">
        <v>5</v>
      </c>
      <c r="K7" s="18">
        <f>IFERROR(VALUE(INDEX(Тест_в2!C34:C37, MATCH("A", C7:F7, 0))), 0)</f>
        <v>3</v>
      </c>
      <c r="L7" s="18">
        <f>IFERROR(VALUE(INDEX(Тест_в2!C34:C37, MATCH("B", C7:F7, 0))), 0)</f>
        <v>1</v>
      </c>
      <c r="M7" s="18">
        <f>IFERROR(VALUE(INDEX(Тест_в2!C34:C37, MATCH("C", C7:F7, 0))), 0)</f>
        <v>0</v>
      </c>
      <c r="N7" s="18">
        <f>IFERROR(VALUE(INDEX(Тест_в2!C34:C37, MATCH("D", C7:F7, 0))), 0)</f>
        <v>3</v>
      </c>
      <c r="O7">
        <f t="shared" si="0"/>
        <v>7</v>
      </c>
      <c r="Q7" s="112" t="s">
        <v>94</v>
      </c>
      <c r="R7" s="62" t="s">
        <v>113</v>
      </c>
      <c r="S7" s="81"/>
    </row>
    <row r="8" spans="1:53" ht="57.75" customHeight="1" x14ac:dyDescent="0.35">
      <c r="A8" s="108"/>
      <c r="B8" s="50">
        <v>6</v>
      </c>
      <c r="C8" s="51" t="s">
        <v>87</v>
      </c>
      <c r="D8" s="51" t="s">
        <v>88</v>
      </c>
      <c r="E8" s="51" t="s">
        <v>85</v>
      </c>
      <c r="F8" s="51" t="s">
        <v>86</v>
      </c>
      <c r="G8" s="49"/>
      <c r="J8">
        <v>6</v>
      </c>
      <c r="K8" s="18">
        <f>IFERROR(VALUE(INDEX(Тест_в2!C40:C43, MATCH("A", C8:F8, 0))), 0)</f>
        <v>3</v>
      </c>
      <c r="L8" s="18">
        <f>IFERROR(VALUE(INDEX(Тест_в2!C40:C43, MATCH("B", C8:F8, 0))), 0)</f>
        <v>0</v>
      </c>
      <c r="M8" s="18">
        <f>IFERROR(VALUE(INDEX(Тест_в2!C40:C43, MATCH("C", C8:F8, 0))), 0)</f>
        <v>1</v>
      </c>
      <c r="N8" s="18">
        <f>IFERROR(VALUE(INDEX(Тест_в2!C40:C43, MATCH("D", C8:F8, 0))), 0)</f>
        <v>3</v>
      </c>
      <c r="O8">
        <f t="shared" si="0"/>
        <v>7</v>
      </c>
      <c r="Q8" s="112"/>
      <c r="R8" s="62" t="s">
        <v>114</v>
      </c>
      <c r="S8" s="81"/>
      <c r="X8" s="93"/>
    </row>
    <row r="9" spans="1:53" ht="45.75" customHeight="1" x14ac:dyDescent="0.35">
      <c r="A9" s="108"/>
      <c r="B9" s="50">
        <v>7</v>
      </c>
      <c r="C9" s="51" t="s">
        <v>85</v>
      </c>
      <c r="D9" s="51" t="s">
        <v>86</v>
      </c>
      <c r="E9" s="51" t="s">
        <v>87</v>
      </c>
      <c r="F9" s="51" t="s">
        <v>88</v>
      </c>
      <c r="G9" s="49"/>
      <c r="J9">
        <v>7</v>
      </c>
      <c r="K9" s="18">
        <f>IFERROR(VALUE(INDEX(Тест_в2!C46:C49, MATCH("A", C9:F9, 0))), 0)</f>
        <v>3</v>
      </c>
      <c r="L9" s="18">
        <f>IFERROR(VALUE(INDEX(Тест_в2!C46:C49, MATCH("B", C9:F9, 0))), 0)</f>
        <v>0</v>
      </c>
      <c r="M9" s="18">
        <f>IFERROR(VALUE(INDEX(Тест_в2!C46:C49, MATCH("C", C9:F9, 0))), 0)</f>
        <v>1</v>
      </c>
      <c r="N9" s="18">
        <f>IFERROR(VALUE(INDEX(Тест_в2!C46:C49, MATCH("D", C9:F9, 0))), 0)</f>
        <v>3</v>
      </c>
      <c r="O9">
        <f t="shared" si="0"/>
        <v>7</v>
      </c>
      <c r="Q9" s="112"/>
      <c r="R9" s="62" t="s">
        <v>115</v>
      </c>
      <c r="S9" s="81"/>
    </row>
    <row r="10" spans="1:53" ht="50.25" customHeight="1" x14ac:dyDescent="0.35">
      <c r="A10" s="108"/>
      <c r="B10" s="50">
        <v>8</v>
      </c>
      <c r="C10" s="51" t="s">
        <v>86</v>
      </c>
      <c r="D10" s="51" t="s">
        <v>87</v>
      </c>
      <c r="E10" s="51" t="s">
        <v>88</v>
      </c>
      <c r="F10" s="51" t="s">
        <v>85</v>
      </c>
      <c r="G10" s="49"/>
      <c r="J10">
        <v>8</v>
      </c>
      <c r="K10" s="18">
        <f>IFERROR(VALUE(INDEX(Тест_в2!C52:C55, MATCH("A", C10:F10, 0))), 0)</f>
        <v>3</v>
      </c>
      <c r="L10" s="18">
        <f>IFERROR(VALUE(INDEX(Тест_в2!C52:C55, MATCH("B", C10:F10, 0))), 0)</f>
        <v>1</v>
      </c>
      <c r="M10" s="18">
        <f>IFERROR(VALUE(INDEX(Тест_в2!C52:C55, MATCH("C", C10:F10, 0))), 0)</f>
        <v>0</v>
      </c>
      <c r="N10" s="18">
        <f>IFERROR(VALUE(INDEX(Тест_в2!C52:C55, MATCH("D", C10:F10, 0))), 0)</f>
        <v>3</v>
      </c>
      <c r="O10">
        <f t="shared" si="0"/>
        <v>7</v>
      </c>
      <c r="Q10" s="112"/>
      <c r="R10" s="62" t="s">
        <v>116</v>
      </c>
      <c r="S10" s="81"/>
    </row>
    <row r="11" spans="1:53" ht="51.75" customHeight="1" x14ac:dyDescent="0.35">
      <c r="A11" s="108"/>
      <c r="B11" s="50">
        <v>9</v>
      </c>
      <c r="C11" s="51" t="s">
        <v>86</v>
      </c>
      <c r="D11" s="51" t="s">
        <v>87</v>
      </c>
      <c r="E11" s="51" t="s">
        <v>88</v>
      </c>
      <c r="F11" s="51" t="s">
        <v>85</v>
      </c>
      <c r="G11" s="49"/>
      <c r="J11">
        <v>9</v>
      </c>
      <c r="K11" s="18">
        <f>IFERROR(VALUE(INDEX(Тест_в2!C58:C61, MATCH("A", C11:F11, 0))), 0)</f>
        <v>3</v>
      </c>
      <c r="L11" s="18">
        <f>IFERROR(VALUE(INDEX(Тест_в2!C58:C61, MATCH("B", C11:F11, 0))), 0)</f>
        <v>1</v>
      </c>
      <c r="M11" s="18">
        <f>IFERROR(VALUE(INDEX(Тест_в2!C58:C61, MATCH("C", C11:F11, 0))), 0)</f>
        <v>0</v>
      </c>
      <c r="N11" s="18">
        <f>IFERROR(VALUE(INDEX(Тест_в2!C58:C61, MATCH("D", C11:F11, 0))), 0)</f>
        <v>3</v>
      </c>
      <c r="O11">
        <f t="shared" si="0"/>
        <v>7</v>
      </c>
      <c r="Q11" s="112"/>
      <c r="R11" s="62" t="s">
        <v>117</v>
      </c>
      <c r="S11" s="81"/>
    </row>
    <row r="12" spans="1:53" ht="53.25" customHeight="1" x14ac:dyDescent="0.35">
      <c r="A12" s="108"/>
      <c r="B12" s="50">
        <v>10</v>
      </c>
      <c r="C12" s="51" t="s">
        <v>87</v>
      </c>
      <c r="D12" s="51" t="s">
        <v>88</v>
      </c>
      <c r="E12" s="51" t="s">
        <v>85</v>
      </c>
      <c r="F12" s="51" t="s">
        <v>86</v>
      </c>
      <c r="G12" s="49"/>
      <c r="J12">
        <v>10</v>
      </c>
      <c r="K12" s="18">
        <f>IFERROR(VALUE(INDEX(Тест_в2!C64:C67, MATCH("A", C12:F12, 0))), 0)</f>
        <v>3</v>
      </c>
      <c r="L12" s="18">
        <f>IFERROR(VALUE(INDEX(Тест_в2!C64:C67, MATCH("B", C12:F12, 0))), 0)</f>
        <v>0</v>
      </c>
      <c r="M12" s="18">
        <f>IFERROR(VALUE(INDEX(Тест_в2!C64:C67, MATCH("C", C12:F12, 0))), 0)</f>
        <v>1</v>
      </c>
      <c r="N12" s="18">
        <f>IFERROR(VALUE(INDEX(Тест_в2!C64:C67, MATCH("D", C12:F12, 0))), 0)</f>
        <v>3</v>
      </c>
      <c r="O12">
        <f t="shared" si="0"/>
        <v>7</v>
      </c>
      <c r="Q12" s="112"/>
      <c r="R12" s="62" t="s">
        <v>118</v>
      </c>
      <c r="S12" s="81"/>
    </row>
    <row r="13" spans="1:53" ht="75.75" customHeight="1" x14ac:dyDescent="0.35">
      <c r="A13" s="108"/>
      <c r="B13" s="50">
        <v>11</v>
      </c>
      <c r="C13" s="51" t="s">
        <v>85</v>
      </c>
      <c r="D13" s="51" t="s">
        <v>86</v>
      </c>
      <c r="E13" s="51" t="s">
        <v>87</v>
      </c>
      <c r="F13" s="51" t="s">
        <v>88</v>
      </c>
      <c r="G13" s="49"/>
      <c r="J13">
        <v>11</v>
      </c>
      <c r="K13" s="18">
        <f>IFERROR(VALUE(INDEX(Тест_в2!C70:C73, MATCH("A", C13:F13, 0))), 0)</f>
        <v>3</v>
      </c>
      <c r="L13" s="18">
        <f>IFERROR(VALUE(INDEX(Тест_в2!C70:C73, MATCH("B", C13:F13, 0))), 0)</f>
        <v>0</v>
      </c>
      <c r="M13" s="18">
        <f>IFERROR(VALUE(INDEX(Тест_в2!C70:C73, MATCH("C", C13:F13, 0))), 0)</f>
        <v>1</v>
      </c>
      <c r="N13" s="18">
        <f>IFERROR(VALUE(INDEX(Тест_в2!C70:C73, MATCH("D", C13:F13, 0))), 0)</f>
        <v>3</v>
      </c>
      <c r="O13">
        <f t="shared" si="0"/>
        <v>7</v>
      </c>
      <c r="Q13" s="112" t="s">
        <v>95</v>
      </c>
      <c r="R13" s="62" t="s">
        <v>142</v>
      </c>
      <c r="S13" s="81"/>
    </row>
    <row r="14" spans="1:53" ht="82.5" customHeight="1" x14ac:dyDescent="0.35">
      <c r="A14" s="108"/>
      <c r="B14" s="50">
        <v>12</v>
      </c>
      <c r="C14" s="51" t="s">
        <v>86</v>
      </c>
      <c r="D14" s="51" t="s">
        <v>85</v>
      </c>
      <c r="E14" s="51" t="s">
        <v>88</v>
      </c>
      <c r="F14" s="51" t="s">
        <v>87</v>
      </c>
      <c r="G14" s="49"/>
      <c r="J14">
        <v>12</v>
      </c>
      <c r="K14" s="18">
        <f>IFERROR(VALUE(INDEX(Тест_в2!C76:C79, MATCH("A", C14:F14, 0))), 0)</f>
        <v>3</v>
      </c>
      <c r="L14" s="18">
        <f>IFERROR(VALUE(INDEX(Тест_в2!C76:C79, MATCH("B", C14:F14, 0))), 0)</f>
        <v>1</v>
      </c>
      <c r="M14" s="18">
        <f>IFERROR(VALUE(INDEX(Тест_в2!C76:C79, MATCH("C", C14:F14, 0))), 0)</f>
        <v>0</v>
      </c>
      <c r="N14" s="18">
        <f>IFERROR(VALUE(INDEX(Тест_в2!C76:C79, MATCH("D", C14:F14, 0))), 0)</f>
        <v>3</v>
      </c>
      <c r="O14">
        <f t="shared" si="0"/>
        <v>7</v>
      </c>
      <c r="Q14" s="112"/>
      <c r="R14" s="62" t="s">
        <v>143</v>
      </c>
      <c r="S14" s="81"/>
    </row>
    <row r="15" spans="1:53" ht="81.75" customHeight="1" x14ac:dyDescent="0.35">
      <c r="A15" s="108"/>
      <c r="B15" s="50">
        <v>13</v>
      </c>
      <c r="C15" s="51" t="s">
        <v>88</v>
      </c>
      <c r="D15" s="51" t="s">
        <v>85</v>
      </c>
      <c r="E15" s="51" t="s">
        <v>86</v>
      </c>
      <c r="F15" s="51" t="s">
        <v>87</v>
      </c>
      <c r="G15" s="44"/>
      <c r="J15">
        <v>13</v>
      </c>
      <c r="K15" s="18">
        <f>IFERROR(VALUE(INDEX(Тест_в2!C82:C85, MATCH("A", C15:F15, 0))), 0)</f>
        <v>3</v>
      </c>
      <c r="L15" s="18">
        <f>IFERROR(VALUE(INDEX(Тест_в2!C82:C85, MATCH("B", C15:F15, 0))), 0)</f>
        <v>0</v>
      </c>
      <c r="M15" s="18">
        <f>IFERROR(VALUE(INDEX(Тест_в2!C82:C85, MATCH("C", C15:F15, 0))), 0)</f>
        <v>1</v>
      </c>
      <c r="N15" s="18">
        <f>IFERROR(VALUE(INDEX(Тест_в2!C82:C85, MATCH("D", C15:F15, 0))), 0)</f>
        <v>3</v>
      </c>
      <c r="O15">
        <f t="shared" si="0"/>
        <v>7</v>
      </c>
      <c r="Q15" s="112"/>
      <c r="R15" s="62" t="s">
        <v>144</v>
      </c>
      <c r="S15" s="81"/>
    </row>
    <row r="16" spans="1:53" ht="90.75" customHeight="1" x14ac:dyDescent="0.35">
      <c r="A16" s="108"/>
      <c r="B16" s="50">
        <v>14</v>
      </c>
      <c r="C16" s="51" t="s">
        <v>87</v>
      </c>
      <c r="D16" s="51" t="s">
        <v>88</v>
      </c>
      <c r="E16" s="51" t="s">
        <v>85</v>
      </c>
      <c r="F16" s="51" t="s">
        <v>86</v>
      </c>
      <c r="G16" s="44"/>
      <c r="J16">
        <v>14</v>
      </c>
      <c r="K16" s="18">
        <f>IFERROR(VALUE(INDEX(Тест_в2!C88:C91, MATCH("A", C16:F16, 0))), 0)</f>
        <v>3</v>
      </c>
      <c r="L16" s="18">
        <f>IFERROR(VALUE(INDEX(Тест_в2!C88:C91, MATCH("B", C16:F16, 0))), 0)</f>
        <v>0</v>
      </c>
      <c r="M16" s="18">
        <f>IFERROR(VALUE(INDEX(Тест_в2!C88:C91, MATCH("C", C16:F16, 0))), 0)</f>
        <v>1</v>
      </c>
      <c r="N16" s="18">
        <f>IFERROR(VALUE(INDEX(Тест_в2!C88:C91, MATCH("D", C16:F16, 0))), 0)</f>
        <v>3</v>
      </c>
      <c r="O16">
        <f t="shared" si="0"/>
        <v>7</v>
      </c>
      <c r="Q16" s="112"/>
      <c r="R16" s="62" t="s">
        <v>145</v>
      </c>
      <c r="S16" s="81"/>
    </row>
    <row r="17" spans="1:19" ht="93" customHeight="1" x14ac:dyDescent="0.35">
      <c r="A17" s="44"/>
      <c r="B17" s="109" t="s">
        <v>139</v>
      </c>
      <c r="C17" s="110"/>
      <c r="D17" s="110"/>
      <c r="E17" s="110"/>
      <c r="F17" s="110"/>
      <c r="G17" s="110"/>
      <c r="J17" s="1" t="s">
        <v>93</v>
      </c>
      <c r="K17">
        <f>SUM(K3:K16)</f>
        <v>42</v>
      </c>
      <c r="L17">
        <f>SUM(L3:L16)</f>
        <v>7</v>
      </c>
      <c r="M17">
        <f>SUM(M3:M16)</f>
        <v>7</v>
      </c>
      <c r="N17">
        <f>SUM(N3:N16)</f>
        <v>42</v>
      </c>
      <c r="O17">
        <f t="shared" si="0"/>
        <v>98</v>
      </c>
      <c r="Q17" s="62" t="s">
        <v>96</v>
      </c>
      <c r="R17" s="62" t="s">
        <v>146</v>
      </c>
      <c r="S17" s="81"/>
    </row>
    <row r="19" spans="1:19" ht="15" customHeight="1" x14ac:dyDescent="0.25">
      <c r="K19"/>
    </row>
  </sheetData>
  <mergeCells count="10">
    <mergeCell ref="B2:F2"/>
    <mergeCell ref="T1:AN1"/>
    <mergeCell ref="Q1:R1"/>
    <mergeCell ref="K1:N1"/>
    <mergeCell ref="B1:F1"/>
    <mergeCell ref="A3:A16"/>
    <mergeCell ref="B17:G17"/>
    <mergeCell ref="Q3:Q6"/>
    <mergeCell ref="Q7:Q12"/>
    <mergeCell ref="Q13:Q16"/>
  </mergeCells>
  <pageMargins left="0.70000004768371582" right="0.70000004768371582" top="0.75" bottom="0.75" header="0.5118110179901123" footer="0.511811017990112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4" sqref="A4"/>
    </sheetView>
  </sheetViews>
  <sheetFormatPr defaultColWidth="9.140625" defaultRowHeight="14.25" customHeight="1" x14ac:dyDescent="0.25"/>
  <cols>
    <col min="1" max="1" width="179.140625" style="40" customWidth="1"/>
    <col min="2" max="2" width="19.28515625" style="40" customWidth="1"/>
    <col min="3" max="3" width="55.7109375" style="40" customWidth="1"/>
  </cols>
  <sheetData>
    <row r="1" spans="1:3" ht="15" customHeight="1" x14ac:dyDescent="0.25">
      <c r="A1" s="16" t="s">
        <v>97</v>
      </c>
    </row>
    <row r="2" spans="1:3" ht="134.25" customHeight="1" x14ac:dyDescent="0.25">
      <c r="A2" s="73" t="s">
        <v>187</v>
      </c>
      <c r="B2" s="71"/>
      <c r="C2" s="45"/>
    </row>
    <row r="3" spans="1:3" ht="18.75" customHeight="1" x14ac:dyDescent="0.25">
      <c r="A3" s="16" t="s">
        <v>98</v>
      </c>
      <c r="C3" s="45"/>
    </row>
    <row r="4" spans="1:3" ht="201.75" customHeight="1" x14ac:dyDescent="0.25">
      <c r="A4" s="86" t="s">
        <v>99</v>
      </c>
      <c r="B4" s="72"/>
    </row>
  </sheetData>
  <pageMargins left="0.70000004768371582" right="0.70000004768371582" top="0.75" bottom="0.75" header="0.5118110179901123" footer="0.5118110179901123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4"/>
  <sheetViews>
    <sheetView zoomScale="130" zoomScaleNormal="130" workbookViewId="0">
      <selection activeCell="D9" sqref="D9"/>
    </sheetView>
  </sheetViews>
  <sheetFormatPr defaultRowHeight="28.5" customHeight="1" x14ac:dyDescent="0.25"/>
  <cols>
    <col min="1" max="1" width="12.5703125" style="57" customWidth="1"/>
    <col min="2" max="2" width="15.28515625" style="57" customWidth="1"/>
    <col min="3" max="3" width="132.140625" style="57" customWidth="1"/>
    <col min="4" max="4" width="107.42578125" style="57" customWidth="1"/>
    <col min="5" max="16384" width="9.140625" style="57"/>
  </cols>
  <sheetData>
    <row r="1" spans="1:21" ht="28.5" customHeight="1" x14ac:dyDescent="0.25">
      <c r="A1" s="56" t="s">
        <v>107</v>
      </c>
      <c r="B1" s="56" t="s">
        <v>122</v>
      </c>
      <c r="C1" s="56" t="s">
        <v>108</v>
      </c>
      <c r="D1" s="56" t="s">
        <v>109</v>
      </c>
    </row>
    <row r="2" spans="1:21" ht="309.95" customHeight="1" x14ac:dyDescent="0.25">
      <c r="A2" s="54" t="s">
        <v>169</v>
      </c>
      <c r="B2" s="54" t="s">
        <v>110</v>
      </c>
      <c r="C2" s="53" t="s">
        <v>193</v>
      </c>
      <c r="D2" s="47" t="s">
        <v>132</v>
      </c>
    </row>
    <row r="3" spans="1:21" ht="309.95" customHeight="1" x14ac:dyDescent="0.25">
      <c r="A3" s="54" t="s">
        <v>169</v>
      </c>
      <c r="B3" s="54" t="s">
        <v>111</v>
      </c>
      <c r="C3" s="48" t="s">
        <v>147</v>
      </c>
      <c r="D3" s="47" t="s">
        <v>128</v>
      </c>
    </row>
    <row r="4" spans="1:21" ht="309.95" customHeight="1" x14ac:dyDescent="0.25">
      <c r="A4" s="54" t="s">
        <v>169</v>
      </c>
      <c r="B4" s="54" t="s">
        <v>18</v>
      </c>
      <c r="C4" s="48" t="s">
        <v>131</v>
      </c>
      <c r="D4" s="47" t="s">
        <v>125</v>
      </c>
    </row>
    <row r="5" spans="1:21" ht="309.95" customHeight="1" x14ac:dyDescent="0.25">
      <c r="A5" s="54" t="s">
        <v>169</v>
      </c>
      <c r="B5" s="54" t="s">
        <v>20</v>
      </c>
      <c r="C5" s="48" t="s">
        <v>129</v>
      </c>
      <c r="D5" s="47" t="s">
        <v>130</v>
      </c>
    </row>
    <row r="6" spans="1:21" ht="309.95" customHeight="1" x14ac:dyDescent="0.25">
      <c r="A6" s="46" t="s">
        <v>112</v>
      </c>
      <c r="B6" s="46" t="s">
        <v>113</v>
      </c>
      <c r="C6" s="46" t="s">
        <v>204</v>
      </c>
      <c r="D6" s="46" t="s">
        <v>205</v>
      </c>
      <c r="U6" s="57">
        <v>19</v>
      </c>
    </row>
    <row r="7" spans="1:21" ht="309.95" customHeight="1" x14ac:dyDescent="0.25">
      <c r="A7" s="46" t="s">
        <v>112</v>
      </c>
      <c r="B7" s="46" t="s">
        <v>114</v>
      </c>
      <c r="C7" s="46" t="s">
        <v>206</v>
      </c>
      <c r="D7" s="46" t="s">
        <v>123</v>
      </c>
    </row>
    <row r="8" spans="1:21" ht="309.95" customHeight="1" x14ac:dyDescent="0.25">
      <c r="A8" s="46" t="s">
        <v>112</v>
      </c>
      <c r="B8" s="46" t="s">
        <v>115</v>
      </c>
      <c r="C8" s="48" t="s">
        <v>207</v>
      </c>
      <c r="D8" s="47" t="s">
        <v>134</v>
      </c>
    </row>
    <row r="9" spans="1:21" ht="309.95" customHeight="1" x14ac:dyDescent="0.25">
      <c r="A9" s="46" t="s">
        <v>112</v>
      </c>
      <c r="B9" s="46" t="s">
        <v>116</v>
      </c>
      <c r="C9" s="46" t="s">
        <v>201</v>
      </c>
      <c r="D9" s="47" t="s">
        <v>133</v>
      </c>
    </row>
    <row r="10" spans="1:21" ht="309.95" customHeight="1" x14ac:dyDescent="0.25">
      <c r="A10" s="46" t="s">
        <v>112</v>
      </c>
      <c r="B10" s="46" t="s">
        <v>117</v>
      </c>
      <c r="C10" s="48" t="s">
        <v>200</v>
      </c>
      <c r="D10" s="47" t="s">
        <v>124</v>
      </c>
    </row>
    <row r="11" spans="1:21" ht="309.95" customHeight="1" x14ac:dyDescent="0.25">
      <c r="A11" s="46" t="s">
        <v>112</v>
      </c>
      <c r="B11" s="46" t="s">
        <v>118</v>
      </c>
      <c r="C11" s="48" t="s">
        <v>203</v>
      </c>
      <c r="D11" s="47" t="s">
        <v>126</v>
      </c>
    </row>
    <row r="12" spans="1:21" ht="309.95" customHeight="1" x14ac:dyDescent="0.25">
      <c r="A12" s="46" t="s">
        <v>119</v>
      </c>
      <c r="B12" s="46" t="s">
        <v>142</v>
      </c>
      <c r="C12" s="46" t="s">
        <v>209</v>
      </c>
      <c r="D12" s="47" t="s">
        <v>136</v>
      </c>
    </row>
    <row r="13" spans="1:21" ht="309.95" customHeight="1" x14ac:dyDescent="0.25">
      <c r="A13" s="46" t="s">
        <v>119</v>
      </c>
      <c r="B13" s="46" t="s">
        <v>152</v>
      </c>
      <c r="C13" s="48" t="s">
        <v>208</v>
      </c>
      <c r="D13" s="47" t="s">
        <v>138</v>
      </c>
    </row>
    <row r="14" spans="1:21" ht="309.95" customHeight="1" x14ac:dyDescent="0.25">
      <c r="A14" s="46" t="s">
        <v>119</v>
      </c>
      <c r="B14" s="46" t="s">
        <v>144</v>
      </c>
      <c r="C14" s="48" t="s">
        <v>211</v>
      </c>
      <c r="D14" s="47" t="s">
        <v>137</v>
      </c>
    </row>
    <row r="15" spans="1:21" ht="309.95" customHeight="1" x14ac:dyDescent="0.25">
      <c r="A15" s="46" t="s">
        <v>119</v>
      </c>
      <c r="B15" s="46" t="s">
        <v>151</v>
      </c>
      <c r="C15" s="46" t="s">
        <v>202</v>
      </c>
      <c r="D15" s="47" t="s">
        <v>135</v>
      </c>
    </row>
    <row r="16" spans="1:21" ht="318.75" customHeight="1" x14ac:dyDescent="0.25">
      <c r="A16" s="46" t="s">
        <v>120</v>
      </c>
      <c r="B16" s="46" t="s">
        <v>121</v>
      </c>
      <c r="C16" s="53" t="s">
        <v>210</v>
      </c>
      <c r="D16" s="47" t="s">
        <v>149</v>
      </c>
    </row>
    <row r="17" spans="1:4" ht="28.5" customHeight="1" x14ac:dyDescent="0.25">
      <c r="A17" s="46"/>
      <c r="B17" s="46"/>
      <c r="C17" s="46"/>
      <c r="D17" s="46"/>
    </row>
    <row r="18" spans="1:4" ht="28.5" customHeight="1" x14ac:dyDescent="0.25">
      <c r="A18" s="46"/>
      <c r="B18" s="46"/>
      <c r="C18" s="46"/>
      <c r="D18" s="46"/>
    </row>
    <row r="19" spans="1:4" ht="28.5" customHeight="1" x14ac:dyDescent="0.25">
      <c r="A19" s="46"/>
      <c r="B19" s="46"/>
      <c r="C19" s="46"/>
      <c r="D19" s="46"/>
    </row>
    <row r="20" spans="1:4" ht="28.5" customHeight="1" x14ac:dyDescent="0.25">
      <c r="A20" s="46"/>
      <c r="B20" s="46"/>
      <c r="C20" s="46"/>
      <c r="D20" s="46"/>
    </row>
    <row r="21" spans="1:4" ht="28.5" customHeight="1" x14ac:dyDescent="0.25">
      <c r="A21" s="46"/>
      <c r="B21" s="46"/>
      <c r="C21" s="46"/>
      <c r="D21" s="46"/>
    </row>
    <row r="22" spans="1:4" ht="28.5" customHeight="1" x14ac:dyDescent="0.25">
      <c r="A22" s="46"/>
      <c r="B22" s="46"/>
      <c r="C22" s="46"/>
      <c r="D22" s="46"/>
    </row>
    <row r="23" spans="1:4" ht="28.5" customHeight="1" x14ac:dyDescent="0.25">
      <c r="A23" s="46"/>
      <c r="B23" s="46"/>
      <c r="C23" s="46"/>
      <c r="D23" s="46"/>
    </row>
    <row r="24" spans="1:4" ht="28.5" customHeight="1" x14ac:dyDescent="0.25">
      <c r="A24" s="46"/>
      <c r="B24" s="46"/>
      <c r="C24" s="46"/>
      <c r="D24" s="46"/>
    </row>
    <row r="25" spans="1:4" ht="28.5" customHeight="1" x14ac:dyDescent="0.25">
      <c r="A25" s="46"/>
      <c r="B25" s="46"/>
      <c r="C25" s="46"/>
      <c r="D25" s="46"/>
    </row>
    <row r="26" spans="1:4" ht="28.5" customHeight="1" x14ac:dyDescent="0.25">
      <c r="A26" s="46"/>
      <c r="B26" s="46"/>
      <c r="C26" s="46"/>
      <c r="D26" s="46"/>
    </row>
    <row r="27" spans="1:4" ht="28.5" customHeight="1" x14ac:dyDescent="0.25">
      <c r="A27" s="46"/>
      <c r="B27" s="46"/>
      <c r="C27" s="46"/>
      <c r="D27" s="46"/>
    </row>
    <row r="28" spans="1:4" ht="28.5" customHeight="1" x14ac:dyDescent="0.25">
      <c r="A28" s="46"/>
      <c r="B28" s="46"/>
      <c r="C28" s="46"/>
      <c r="D28" s="46"/>
    </row>
    <row r="29" spans="1:4" ht="28.5" customHeight="1" x14ac:dyDescent="0.25">
      <c r="A29" s="46"/>
      <c r="B29" s="46"/>
      <c r="C29" s="46"/>
      <c r="D29" s="46"/>
    </row>
    <row r="30" spans="1:4" ht="28.5" customHeight="1" x14ac:dyDescent="0.25">
      <c r="A30" s="46"/>
      <c r="B30" s="46"/>
      <c r="C30" s="46"/>
      <c r="D30" s="46"/>
    </row>
    <row r="31" spans="1:4" ht="28.5" customHeight="1" x14ac:dyDescent="0.25">
      <c r="A31" s="46"/>
      <c r="B31" s="46"/>
      <c r="C31" s="46"/>
      <c r="D31" s="46"/>
    </row>
    <row r="32" spans="1:4" ht="28.5" customHeight="1" x14ac:dyDescent="0.25">
      <c r="A32" s="46"/>
      <c r="B32" s="46"/>
      <c r="C32" s="46"/>
      <c r="D32" s="46"/>
    </row>
    <row r="33" spans="1:4" ht="28.5" customHeight="1" x14ac:dyDescent="0.25">
      <c r="A33" s="46"/>
      <c r="B33" s="46"/>
      <c r="C33" s="46"/>
      <c r="D33" s="46"/>
    </row>
    <row r="34" spans="1:4" ht="28.5" customHeight="1" x14ac:dyDescent="0.25">
      <c r="A34" s="46"/>
      <c r="B34" s="46"/>
      <c r="C34" s="46"/>
      <c r="D34" s="46"/>
    </row>
    <row r="35" spans="1:4" ht="28.5" customHeight="1" x14ac:dyDescent="0.25">
      <c r="A35" s="46"/>
      <c r="B35" s="46"/>
      <c r="C35" s="46"/>
      <c r="D35" s="46"/>
    </row>
    <row r="36" spans="1:4" ht="28.5" customHeight="1" x14ac:dyDescent="0.25">
      <c r="A36" s="46"/>
      <c r="B36" s="46"/>
      <c r="C36" s="46"/>
      <c r="D36" s="46"/>
    </row>
    <row r="37" spans="1:4" ht="28.5" customHeight="1" x14ac:dyDescent="0.25">
      <c r="A37" s="46"/>
      <c r="B37" s="46"/>
      <c r="C37" s="46"/>
      <c r="D37" s="46"/>
    </row>
    <row r="38" spans="1:4" ht="28.5" customHeight="1" x14ac:dyDescent="0.25">
      <c r="A38" s="46"/>
      <c r="B38" s="46"/>
      <c r="C38" s="46"/>
      <c r="D38" s="46"/>
    </row>
    <row r="39" spans="1:4" ht="28.5" customHeight="1" x14ac:dyDescent="0.25">
      <c r="A39" s="46"/>
      <c r="B39" s="46"/>
      <c r="C39" s="46"/>
      <c r="D39" s="46"/>
    </row>
    <row r="40" spans="1:4" ht="28.5" customHeight="1" x14ac:dyDescent="0.25">
      <c r="A40" s="46"/>
      <c r="B40" s="46"/>
      <c r="C40" s="46"/>
      <c r="D40" s="46"/>
    </row>
    <row r="41" spans="1:4" ht="28.5" customHeight="1" x14ac:dyDescent="0.25">
      <c r="A41" s="46"/>
      <c r="B41" s="46"/>
      <c r="C41" s="46"/>
      <c r="D41" s="46"/>
    </row>
    <row r="42" spans="1:4" ht="28.5" customHeight="1" x14ac:dyDescent="0.25">
      <c r="A42" s="46"/>
      <c r="B42" s="46"/>
      <c r="C42" s="46"/>
      <c r="D42" s="46"/>
    </row>
    <row r="43" spans="1:4" ht="28.5" customHeight="1" x14ac:dyDescent="0.25">
      <c r="A43" s="46"/>
      <c r="B43" s="46"/>
      <c r="C43" s="46"/>
      <c r="D43" s="46"/>
    </row>
    <row r="44" spans="1:4" ht="28.5" customHeight="1" x14ac:dyDescent="0.25">
      <c r="A44" s="46"/>
      <c r="B44" s="46"/>
      <c r="C44" s="46"/>
      <c r="D44" s="46"/>
    </row>
    <row r="45" spans="1:4" ht="28.5" customHeight="1" x14ac:dyDescent="0.25">
      <c r="A45" s="46"/>
      <c r="B45" s="46"/>
      <c r="C45" s="46"/>
      <c r="D45" s="46"/>
    </row>
    <row r="46" spans="1:4" ht="28.5" customHeight="1" x14ac:dyDescent="0.25">
      <c r="A46" s="46"/>
      <c r="B46" s="46"/>
      <c r="C46" s="46"/>
      <c r="D46" s="46"/>
    </row>
    <row r="47" spans="1:4" ht="28.5" customHeight="1" x14ac:dyDescent="0.25">
      <c r="A47" s="46"/>
      <c r="B47" s="46"/>
      <c r="C47" s="46"/>
      <c r="D47" s="46"/>
    </row>
    <row r="48" spans="1:4" ht="28.5" customHeight="1" x14ac:dyDescent="0.25">
      <c r="A48" s="46"/>
      <c r="B48" s="46"/>
      <c r="C48" s="46"/>
      <c r="D48" s="46"/>
    </row>
    <row r="49" spans="1:4" ht="28.5" customHeight="1" x14ac:dyDescent="0.25">
      <c r="A49" s="46"/>
      <c r="B49" s="46"/>
      <c r="C49" s="46"/>
      <c r="D49" s="46"/>
    </row>
    <row r="50" spans="1:4" ht="28.5" customHeight="1" x14ac:dyDescent="0.25">
      <c r="A50" s="46"/>
      <c r="B50" s="46"/>
      <c r="C50" s="46"/>
      <c r="D50" s="46"/>
    </row>
    <row r="51" spans="1:4" ht="28.5" customHeight="1" x14ac:dyDescent="0.25">
      <c r="A51" s="46"/>
      <c r="B51" s="46"/>
      <c r="C51" s="46"/>
      <c r="D51" s="46"/>
    </row>
    <row r="52" spans="1:4" ht="28.5" customHeight="1" x14ac:dyDescent="0.25">
      <c r="A52" s="46"/>
      <c r="B52" s="46"/>
      <c r="C52" s="46"/>
      <c r="D52" s="46"/>
    </row>
    <row r="53" spans="1:4" ht="28.5" customHeight="1" x14ac:dyDescent="0.25">
      <c r="A53" s="46"/>
      <c r="B53" s="46"/>
      <c r="C53" s="46"/>
      <c r="D53" s="46"/>
    </row>
    <row r="54" spans="1:4" ht="28.5" customHeight="1" x14ac:dyDescent="0.25">
      <c r="A54" s="46"/>
      <c r="B54" s="46"/>
      <c r="C54" s="46"/>
      <c r="D54" s="46"/>
    </row>
    <row r="55" spans="1:4" ht="28.5" customHeight="1" x14ac:dyDescent="0.25">
      <c r="A55" s="46"/>
      <c r="B55" s="46"/>
      <c r="C55" s="46"/>
      <c r="D55" s="46"/>
    </row>
    <row r="56" spans="1:4" ht="28.5" customHeight="1" x14ac:dyDescent="0.25">
      <c r="A56" s="46"/>
      <c r="B56" s="46"/>
      <c r="C56" s="46"/>
      <c r="D56" s="46"/>
    </row>
    <row r="57" spans="1:4" ht="28.5" customHeight="1" x14ac:dyDescent="0.25">
      <c r="A57" s="46"/>
      <c r="B57" s="46"/>
      <c r="C57" s="46"/>
      <c r="D57" s="46"/>
    </row>
    <row r="58" spans="1:4" ht="28.5" customHeight="1" x14ac:dyDescent="0.25">
      <c r="A58" s="46"/>
      <c r="B58" s="46"/>
      <c r="C58" s="46"/>
      <c r="D58" s="46"/>
    </row>
    <row r="59" spans="1:4" ht="28.5" customHeight="1" x14ac:dyDescent="0.25">
      <c r="A59" s="46"/>
      <c r="B59" s="46"/>
      <c r="C59" s="46"/>
      <c r="D59" s="46"/>
    </row>
    <row r="60" spans="1:4" ht="28.5" customHeight="1" x14ac:dyDescent="0.25">
      <c r="A60" s="46"/>
      <c r="B60" s="46"/>
      <c r="C60" s="46"/>
      <c r="D60" s="46"/>
    </row>
    <row r="61" spans="1:4" ht="28.5" customHeight="1" x14ac:dyDescent="0.25">
      <c r="A61" s="46"/>
      <c r="B61" s="46"/>
      <c r="C61" s="46"/>
      <c r="D61" s="46"/>
    </row>
    <row r="62" spans="1:4" ht="28.5" customHeight="1" x14ac:dyDescent="0.25">
      <c r="A62" s="46"/>
      <c r="B62" s="46"/>
      <c r="C62" s="46"/>
      <c r="D62" s="46"/>
    </row>
    <row r="63" spans="1:4" ht="28.5" customHeight="1" x14ac:dyDescent="0.25">
      <c r="A63" s="46"/>
      <c r="B63" s="46"/>
      <c r="C63" s="46"/>
      <c r="D63" s="46"/>
    </row>
    <row r="64" spans="1:4" ht="28.5" customHeight="1" x14ac:dyDescent="0.25">
      <c r="A64" s="46"/>
      <c r="B64" s="46"/>
      <c r="C64" s="46"/>
      <c r="D64" s="46"/>
    </row>
    <row r="65" spans="1:4" ht="28.5" customHeight="1" x14ac:dyDescent="0.25">
      <c r="A65" s="46"/>
      <c r="B65" s="46"/>
      <c r="C65" s="46"/>
      <c r="D65" s="46"/>
    </row>
    <row r="66" spans="1:4" ht="28.5" customHeight="1" x14ac:dyDescent="0.25">
      <c r="A66" s="46"/>
      <c r="B66" s="46"/>
      <c r="C66" s="46"/>
      <c r="D66" s="46"/>
    </row>
    <row r="67" spans="1:4" ht="28.5" customHeight="1" x14ac:dyDescent="0.25">
      <c r="A67" s="46"/>
      <c r="B67" s="46"/>
      <c r="C67" s="46"/>
      <c r="D67" s="46"/>
    </row>
    <row r="68" spans="1:4" ht="28.5" customHeight="1" x14ac:dyDescent="0.25">
      <c r="A68" s="46"/>
      <c r="B68" s="46"/>
      <c r="C68" s="46"/>
      <c r="D68" s="46"/>
    </row>
    <row r="69" spans="1:4" ht="28.5" customHeight="1" x14ac:dyDescent="0.25">
      <c r="A69" s="46"/>
      <c r="B69" s="46"/>
      <c r="C69" s="46"/>
      <c r="D69" s="46"/>
    </row>
    <row r="70" spans="1:4" ht="28.5" customHeight="1" x14ac:dyDescent="0.25">
      <c r="A70" s="46"/>
      <c r="B70" s="46"/>
      <c r="C70" s="46"/>
      <c r="D70" s="46"/>
    </row>
    <row r="71" spans="1:4" ht="28.5" customHeight="1" x14ac:dyDescent="0.25">
      <c r="A71" s="46"/>
      <c r="B71" s="46"/>
      <c r="C71" s="46"/>
      <c r="D71" s="46"/>
    </row>
    <row r="72" spans="1:4" ht="28.5" customHeight="1" x14ac:dyDescent="0.25">
      <c r="A72" s="46"/>
      <c r="B72" s="46"/>
      <c r="C72" s="46"/>
      <c r="D72" s="46"/>
    </row>
    <row r="73" spans="1:4" ht="28.5" customHeight="1" x14ac:dyDescent="0.25">
      <c r="A73" s="46"/>
      <c r="B73" s="46"/>
      <c r="C73" s="46"/>
      <c r="D73" s="46"/>
    </row>
    <row r="74" spans="1:4" ht="28.5" customHeight="1" x14ac:dyDescent="0.25">
      <c r="A74" s="46"/>
      <c r="B74" s="46"/>
      <c r="C74" s="46"/>
      <c r="D74" s="46"/>
    </row>
  </sheetData>
  <autoFilter ref="A1:B16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topLeftCell="A53" workbookViewId="0">
      <selection activeCell="B54" sqref="B54:J80"/>
    </sheetView>
  </sheetViews>
  <sheetFormatPr defaultColWidth="160" defaultRowHeight="14.25" customHeight="1" outlineLevelRow="4" x14ac:dyDescent="0.25"/>
  <cols>
    <col min="1" max="1" width="2.28515625" style="23" customWidth="1"/>
    <col min="2" max="9" width="16.28515625" style="92" customWidth="1"/>
    <col min="10" max="10" width="14.7109375" style="92" customWidth="1"/>
    <col min="11" max="12" width="160" style="92" hidden="1" bestFit="1" customWidth="1"/>
    <col min="13" max="13" width="83" style="92" customWidth="1"/>
    <col min="14" max="18" width="160" style="92"/>
    <col min="19" max="19" width="160" style="92" hidden="1" bestFit="1" customWidth="1"/>
    <col min="20" max="16384" width="160" style="92"/>
  </cols>
  <sheetData>
    <row r="1" spans="2:13" ht="25.5" customHeight="1" x14ac:dyDescent="0.25">
      <c r="B1" s="129" t="s">
        <v>104</v>
      </c>
      <c r="C1" s="130"/>
      <c r="D1" s="130"/>
      <c r="E1" s="130"/>
      <c r="F1" s="130"/>
      <c r="G1" s="130"/>
      <c r="H1" s="130"/>
      <c r="I1" s="130"/>
      <c r="J1" s="131"/>
      <c r="M1" s="23"/>
    </row>
    <row r="2" spans="2:13" ht="25.5" customHeight="1" x14ac:dyDescent="0.25">
      <c r="B2" s="125"/>
      <c r="C2" s="120"/>
      <c r="D2" s="120"/>
      <c r="E2" s="120"/>
      <c r="F2" s="120"/>
      <c r="G2" s="120"/>
      <c r="H2" s="120"/>
      <c r="I2" s="120"/>
      <c r="J2" s="121"/>
      <c r="M2" s="23"/>
    </row>
    <row r="3" spans="2:13" ht="15" customHeight="1" x14ac:dyDescent="0.25">
      <c r="B3" s="99"/>
      <c r="C3" s="32"/>
      <c r="D3" s="32"/>
      <c r="E3" s="32"/>
      <c r="F3" s="32"/>
      <c r="G3" s="32"/>
      <c r="H3" s="32"/>
      <c r="I3" s="32"/>
      <c r="J3" s="100"/>
      <c r="M3" s="23"/>
    </row>
    <row r="4" spans="2:13" ht="30" customHeight="1" x14ac:dyDescent="0.25">
      <c r="B4" s="142" t="s">
        <v>105</v>
      </c>
      <c r="C4" s="120"/>
      <c r="D4" s="120"/>
      <c r="E4" s="120"/>
      <c r="F4" s="120"/>
      <c r="G4" s="120"/>
      <c r="H4" s="120"/>
      <c r="I4" s="120"/>
      <c r="J4" s="121"/>
      <c r="M4" s="23"/>
    </row>
    <row r="5" spans="2:13" ht="12" customHeight="1" x14ac:dyDescent="0.25">
      <c r="B5" s="132" t="str">
        <f>'[1]Вводная часть отчета'!A2</f>
        <v>Готово! Мы всё посчитали, ваш результат ниже.
Отчёт отображает результаты самодиагностики, полученные при прохождении теста. 
Ваш отчёт состоит из нескольких блоков:
- Введение
- Результаты
- Характеристика других стилей
- Рекомендации по развитию вашего стиля человекоцентричного лидерства</v>
      </c>
      <c r="C5" s="123"/>
      <c r="D5" s="123"/>
      <c r="E5" s="123"/>
      <c r="F5" s="123"/>
      <c r="G5" s="123"/>
      <c r="H5" s="123"/>
      <c r="I5" s="123"/>
      <c r="J5" s="124"/>
      <c r="M5" s="23"/>
    </row>
    <row r="6" spans="2:13" ht="113.25" customHeight="1" x14ac:dyDescent="0.25">
      <c r="B6" s="125"/>
      <c r="C6" s="120"/>
      <c r="D6" s="120"/>
      <c r="E6" s="120"/>
      <c r="F6" s="120"/>
      <c r="G6" s="120"/>
      <c r="H6" s="120"/>
      <c r="I6" s="120"/>
      <c r="J6" s="121"/>
      <c r="M6" s="23"/>
    </row>
    <row r="7" spans="2:13" ht="15" hidden="1" customHeight="1" x14ac:dyDescent="0.25">
      <c r="B7" s="125"/>
      <c r="C7" s="120"/>
      <c r="D7" s="120"/>
      <c r="E7" s="120"/>
      <c r="F7" s="120"/>
      <c r="G7" s="120"/>
      <c r="H7" s="120"/>
      <c r="I7" s="120"/>
      <c r="J7" s="121"/>
      <c r="M7" s="23"/>
    </row>
    <row r="8" spans="2:13" ht="15" hidden="1" customHeight="1" x14ac:dyDescent="0.25">
      <c r="B8" s="125"/>
      <c r="C8" s="120"/>
      <c r="D8" s="120"/>
      <c r="E8" s="120"/>
      <c r="F8" s="120"/>
      <c r="G8" s="120"/>
      <c r="H8" s="120"/>
      <c r="I8" s="120"/>
      <c r="J8" s="121"/>
      <c r="M8" s="23"/>
    </row>
    <row r="9" spans="2:13" ht="15" hidden="1" customHeight="1" x14ac:dyDescent="0.25">
      <c r="B9" s="125"/>
      <c r="C9" s="120"/>
      <c r="D9" s="120"/>
      <c r="E9" s="120"/>
      <c r="F9" s="120"/>
      <c r="G9" s="120"/>
      <c r="H9" s="120"/>
      <c r="I9" s="120"/>
      <c r="J9" s="121"/>
      <c r="M9" s="23"/>
    </row>
    <row r="10" spans="2:13" ht="15" hidden="1" customHeight="1" x14ac:dyDescent="0.25">
      <c r="B10" s="125"/>
      <c r="C10" s="120"/>
      <c r="D10" s="120"/>
      <c r="E10" s="120"/>
      <c r="F10" s="120"/>
      <c r="G10" s="120"/>
      <c r="H10" s="120"/>
      <c r="I10" s="120"/>
      <c r="J10" s="121"/>
      <c r="M10" s="23"/>
    </row>
    <row r="11" spans="2:13" ht="15" hidden="1" customHeight="1" x14ac:dyDescent="0.25">
      <c r="B11" s="126"/>
      <c r="C11" s="127"/>
      <c r="D11" s="127"/>
      <c r="E11" s="127"/>
      <c r="F11" s="127"/>
      <c r="G11" s="127"/>
      <c r="H11" s="127"/>
      <c r="I11" s="127"/>
      <c r="J11" s="128"/>
      <c r="M11" s="23"/>
    </row>
    <row r="12" spans="2:13" ht="19.5" customHeight="1" x14ac:dyDescent="0.25">
      <c r="B12" s="99"/>
      <c r="C12" s="32"/>
      <c r="D12" s="32"/>
      <c r="E12" s="32"/>
      <c r="F12" s="32"/>
      <c r="G12" s="32"/>
      <c r="H12" s="32"/>
      <c r="I12" s="32"/>
      <c r="J12" s="100"/>
      <c r="M12" s="23"/>
    </row>
    <row r="13" spans="2:13" ht="30" customHeight="1" x14ac:dyDescent="0.25">
      <c r="B13" s="141" t="s">
        <v>98</v>
      </c>
      <c r="C13" s="120"/>
      <c r="D13" s="120"/>
      <c r="E13" s="120"/>
      <c r="F13" s="120"/>
      <c r="G13" s="120"/>
      <c r="H13" s="120"/>
      <c r="I13" s="120"/>
      <c r="J13" s="121"/>
      <c r="M13" s="23"/>
    </row>
    <row r="14" spans="2:13" ht="15" customHeight="1" x14ac:dyDescent="0.25">
      <c r="B14" s="132" t="str">
        <f>'[1]Вводная часть отчета'!A4</f>
        <v>Инструмент «Тест на определение ведущего стиля человекоцентричного лидерства» помогает понять, как вы создаёте осмысленную, тёплую и результативную рабочую среду для людей в вашей команде.
Тест построен на базе:
- Модели человекоцентричного лидерства в "Ростелекоме"
- Классической двухфакторой модели руководства  Ренсиса Лайкерта ("Фокус на людей" и "Фокус на задачи")
- Теории контекстов взаимодействия в команде Рэймонда Белбина
Человекоцентричное лидерство — это подход к управлению, где в центре решений и внимания лидера всегда находится человек: сотрудник, коллега, клиент, партнёр.
Модель человекоцентричного лидерства опирается на четыре вектора: Культура, Лидер, Процессы и практики, Стратегия, и каждому вектору соответствует свой стиль лидерства.
Важно: тест не измеряет «уровень» или «индекс» человекоцентричности и не даёт оценочного вердикта. Его задача — помочь лидеру лучше понять особенности своего стиля управления и увидеть, в каких ситуациях этот стиль наиболее эффективен, а где полезно подключать другие подходы.</v>
      </c>
      <c r="C14" s="123"/>
      <c r="D14" s="123"/>
      <c r="E14" s="123"/>
      <c r="F14" s="123"/>
      <c r="G14" s="123"/>
      <c r="H14" s="123"/>
      <c r="I14" s="123"/>
      <c r="J14" s="124"/>
      <c r="M14" s="23"/>
    </row>
    <row r="15" spans="2:13" ht="15" customHeight="1" x14ac:dyDescent="0.25">
      <c r="B15" s="125"/>
      <c r="C15" s="120"/>
      <c r="D15" s="120"/>
      <c r="E15" s="120"/>
      <c r="F15" s="120"/>
      <c r="G15" s="120"/>
      <c r="H15" s="120"/>
      <c r="I15" s="120"/>
      <c r="J15" s="121"/>
      <c r="M15" s="23"/>
    </row>
    <row r="16" spans="2:13" ht="15" customHeight="1" x14ac:dyDescent="0.25">
      <c r="B16" s="125"/>
      <c r="C16" s="120"/>
      <c r="D16" s="120"/>
      <c r="E16" s="120"/>
      <c r="F16" s="120"/>
      <c r="G16" s="120"/>
      <c r="H16" s="120"/>
      <c r="I16" s="120"/>
      <c r="J16" s="121"/>
      <c r="M16" s="23"/>
    </row>
    <row r="17" spans="2:13" ht="15" customHeight="1" x14ac:dyDescent="0.25">
      <c r="B17" s="125"/>
      <c r="C17" s="120"/>
      <c r="D17" s="120"/>
      <c r="E17" s="120"/>
      <c r="F17" s="120"/>
      <c r="G17" s="120"/>
      <c r="H17" s="120"/>
      <c r="I17" s="120"/>
      <c r="J17" s="121"/>
      <c r="M17" s="23"/>
    </row>
    <row r="18" spans="2:13" ht="15" customHeight="1" x14ac:dyDescent="0.25">
      <c r="B18" s="125"/>
      <c r="C18" s="120"/>
      <c r="D18" s="120"/>
      <c r="E18" s="120"/>
      <c r="F18" s="120"/>
      <c r="G18" s="120"/>
      <c r="H18" s="120"/>
      <c r="I18" s="120"/>
      <c r="J18" s="121"/>
      <c r="M18" s="23"/>
    </row>
    <row r="19" spans="2:13" ht="15" customHeight="1" x14ac:dyDescent="0.25">
      <c r="B19" s="125"/>
      <c r="C19" s="120"/>
      <c r="D19" s="120"/>
      <c r="E19" s="120"/>
      <c r="F19" s="120"/>
      <c r="G19" s="120"/>
      <c r="H19" s="120"/>
      <c r="I19" s="120"/>
      <c r="J19" s="121"/>
      <c r="M19" s="23"/>
    </row>
    <row r="20" spans="2:13" ht="15" customHeight="1" x14ac:dyDescent="0.25">
      <c r="B20" s="125"/>
      <c r="C20" s="120"/>
      <c r="D20" s="120"/>
      <c r="E20" s="120"/>
      <c r="F20" s="120"/>
      <c r="G20" s="120"/>
      <c r="H20" s="120"/>
      <c r="I20" s="120"/>
      <c r="J20" s="121"/>
      <c r="M20" s="23"/>
    </row>
    <row r="21" spans="2:13" ht="30" customHeight="1" x14ac:dyDescent="0.25">
      <c r="B21" s="125"/>
      <c r="C21" s="120"/>
      <c r="D21" s="120"/>
      <c r="E21" s="120"/>
      <c r="F21" s="120"/>
      <c r="G21" s="120"/>
      <c r="H21" s="120"/>
      <c r="I21" s="120"/>
      <c r="J21" s="121"/>
      <c r="M21" s="23"/>
    </row>
    <row r="22" spans="2:13" ht="111" customHeight="1" x14ac:dyDescent="0.25">
      <c r="B22" s="126"/>
      <c r="C22" s="127"/>
      <c r="D22" s="127"/>
      <c r="E22" s="127"/>
      <c r="F22" s="127"/>
      <c r="G22" s="127"/>
      <c r="H22" s="127"/>
      <c r="I22" s="127"/>
      <c r="J22" s="128"/>
      <c r="M22" s="23"/>
    </row>
    <row r="23" spans="2:13" ht="15" customHeight="1" x14ac:dyDescent="0.25">
      <c r="B23" s="99"/>
      <c r="C23" s="32"/>
      <c r="D23" s="32"/>
      <c r="E23" s="32"/>
      <c r="F23" s="32"/>
      <c r="G23" s="32"/>
      <c r="H23" s="32"/>
      <c r="I23" s="32"/>
      <c r="J23" s="100"/>
      <c r="M23" s="23"/>
    </row>
    <row r="24" spans="2:13" ht="60" customHeight="1" x14ac:dyDescent="0.25">
      <c r="B24" s="133" t="s">
        <v>212</v>
      </c>
      <c r="C24" s="120"/>
      <c r="D24" s="120"/>
      <c r="E24" s="120"/>
      <c r="F24" s="120"/>
      <c r="G24" s="120"/>
      <c r="H24" s="120"/>
      <c r="I24" s="120"/>
      <c r="J24" s="121"/>
      <c r="M24" s="59" t="s">
        <v>199</v>
      </c>
    </row>
    <row r="25" spans="2:13" ht="22.5" customHeight="1" x14ac:dyDescent="0.25">
      <c r="B25" s="134" t="s">
        <v>100</v>
      </c>
      <c r="C25" s="135"/>
      <c r="D25" s="144" t="s">
        <v>101</v>
      </c>
      <c r="E25" s="135"/>
      <c r="F25" s="136" t="s">
        <v>102</v>
      </c>
      <c r="G25" s="135"/>
      <c r="H25" s="145" t="s">
        <v>103</v>
      </c>
      <c r="I25" s="135"/>
      <c r="J25" s="100"/>
      <c r="K25" s="92" t="s">
        <v>100</v>
      </c>
      <c r="L25" s="92" t="s">
        <v>101</v>
      </c>
      <c r="M25" s="23"/>
    </row>
    <row r="26" spans="2:13" ht="15" customHeight="1" x14ac:dyDescent="0.25">
      <c r="B26" s="146"/>
      <c r="C26" s="135"/>
      <c r="D26" s="143"/>
      <c r="E26" s="135"/>
      <c r="F26" s="143"/>
      <c r="G26" s="135"/>
      <c r="H26" s="143"/>
      <c r="I26" s="135"/>
      <c r="J26" s="100"/>
      <c r="K26" s="92">
        <f>'[1]Механика подсчета результатов'!$T$3</f>
        <v>39</v>
      </c>
      <c r="L26" s="92">
        <f>'[1]Механика подсчета результатов'!$U$3</f>
        <v>9</v>
      </c>
      <c r="M26" s="23"/>
    </row>
    <row r="27" spans="2:13" ht="15" customHeight="1" x14ac:dyDescent="0.25">
      <c r="B27" s="99"/>
      <c r="C27" s="32"/>
      <c r="D27" s="32"/>
      <c r="E27" s="32"/>
      <c r="F27" s="32"/>
      <c r="G27" s="32"/>
      <c r="H27" s="32"/>
      <c r="I27" s="32"/>
      <c r="J27" s="100"/>
      <c r="M27" s="23"/>
    </row>
    <row r="28" spans="2:13" ht="8.25" customHeight="1" x14ac:dyDescent="0.25">
      <c r="B28" s="99"/>
      <c r="C28" s="32"/>
      <c r="D28" s="32"/>
      <c r="E28" s="32"/>
      <c r="F28" s="32"/>
      <c r="G28" s="32"/>
      <c r="H28" s="32"/>
      <c r="I28" s="32"/>
      <c r="J28" s="100"/>
      <c r="M28" s="23"/>
    </row>
    <row r="29" spans="2:13" ht="240.75" customHeight="1" x14ac:dyDescent="0.25">
      <c r="B29" s="104" t="s">
        <v>213</v>
      </c>
      <c r="C29" s="32"/>
      <c r="D29" s="32"/>
      <c r="E29" s="32"/>
      <c r="F29" s="32"/>
      <c r="G29" s="32"/>
      <c r="H29" s="32"/>
      <c r="I29" s="32"/>
      <c r="J29" s="100"/>
      <c r="M29" s="33"/>
    </row>
    <row r="30" spans="2:13" ht="30" customHeight="1" x14ac:dyDescent="0.25">
      <c r="B30" s="141" t="s">
        <v>127</v>
      </c>
      <c r="C30" s="120"/>
      <c r="D30" s="120"/>
      <c r="E30" s="120"/>
      <c r="F30" s="120"/>
      <c r="G30" s="120"/>
      <c r="H30" s="120"/>
      <c r="I30" s="120"/>
      <c r="J30" s="121"/>
      <c r="M30" s="23"/>
    </row>
    <row r="31" spans="2:13" ht="15" customHeight="1" x14ac:dyDescent="0.25">
      <c r="B31" s="132"/>
      <c r="C31" s="123"/>
      <c r="D31" s="123"/>
      <c r="E31" s="123"/>
      <c r="F31" s="123"/>
      <c r="G31" s="123"/>
      <c r="H31" s="123"/>
      <c r="I31" s="123"/>
      <c r="J31" s="124"/>
      <c r="M31" s="23"/>
    </row>
    <row r="32" spans="2:13" ht="15" customHeight="1" x14ac:dyDescent="0.25">
      <c r="B32" s="125"/>
      <c r="C32" s="120"/>
      <c r="D32" s="120"/>
      <c r="E32" s="120"/>
      <c r="F32" s="120"/>
      <c r="G32" s="120"/>
      <c r="H32" s="120"/>
      <c r="I32" s="120"/>
      <c r="J32" s="121"/>
      <c r="M32" s="23"/>
    </row>
    <row r="33" spans="2:13" ht="15" customHeight="1" x14ac:dyDescent="0.25">
      <c r="B33" s="125"/>
      <c r="C33" s="120"/>
      <c r="D33" s="120"/>
      <c r="E33" s="120"/>
      <c r="F33" s="120"/>
      <c r="G33" s="120"/>
      <c r="H33" s="120"/>
      <c r="I33" s="120"/>
      <c r="J33" s="121"/>
      <c r="M33" s="23"/>
    </row>
    <row r="34" spans="2:13" ht="15" customHeight="1" x14ac:dyDescent="0.25">
      <c r="B34" s="125"/>
      <c r="C34" s="120"/>
      <c r="D34" s="120"/>
      <c r="E34" s="120"/>
      <c r="F34" s="120"/>
      <c r="G34" s="120"/>
      <c r="H34" s="120"/>
      <c r="I34" s="120"/>
      <c r="J34" s="121"/>
      <c r="M34" s="23"/>
    </row>
    <row r="35" spans="2:13" ht="15" customHeight="1" x14ac:dyDescent="0.25">
      <c r="B35" s="125"/>
      <c r="C35" s="120"/>
      <c r="D35" s="120"/>
      <c r="E35" s="120"/>
      <c r="F35" s="120"/>
      <c r="G35" s="120"/>
      <c r="H35" s="120"/>
      <c r="I35" s="120"/>
      <c r="J35" s="121"/>
      <c r="M35" s="23"/>
    </row>
    <row r="36" spans="2:13" ht="30" customHeight="1" x14ac:dyDescent="0.25">
      <c r="B36" s="125"/>
      <c r="C36" s="120"/>
      <c r="D36" s="120"/>
      <c r="E36" s="120"/>
      <c r="F36" s="120"/>
      <c r="G36" s="120"/>
      <c r="H36" s="120"/>
      <c r="I36" s="120"/>
      <c r="J36" s="121"/>
      <c r="M36" s="23"/>
    </row>
    <row r="37" spans="2:13" ht="15" customHeight="1" x14ac:dyDescent="0.25">
      <c r="B37" s="125"/>
      <c r="C37" s="120"/>
      <c r="D37" s="120"/>
      <c r="E37" s="120"/>
      <c r="F37" s="120"/>
      <c r="G37" s="120"/>
      <c r="H37" s="120"/>
      <c r="I37" s="120"/>
      <c r="J37" s="121"/>
      <c r="M37" s="23"/>
    </row>
    <row r="38" spans="2:13" ht="15" customHeight="1" x14ac:dyDescent="0.25">
      <c r="B38" s="125"/>
      <c r="C38" s="120"/>
      <c r="D38" s="120"/>
      <c r="E38" s="120"/>
      <c r="F38" s="120"/>
      <c r="G38" s="120"/>
      <c r="H38" s="120"/>
      <c r="I38" s="120"/>
      <c r="J38" s="121"/>
      <c r="M38" s="23"/>
    </row>
    <row r="39" spans="2:13" ht="15" customHeight="1" x14ac:dyDescent="0.25">
      <c r="B39" s="125"/>
      <c r="C39" s="120"/>
      <c r="D39" s="120"/>
      <c r="E39" s="120"/>
      <c r="F39" s="120"/>
      <c r="G39" s="120"/>
      <c r="H39" s="120"/>
      <c r="I39" s="120"/>
      <c r="J39" s="121"/>
      <c r="M39" s="23"/>
    </row>
    <row r="40" spans="2:13" ht="15" customHeight="1" x14ac:dyDescent="0.25">
      <c r="B40" s="125"/>
      <c r="C40" s="120"/>
      <c r="D40" s="120"/>
      <c r="E40" s="120"/>
      <c r="F40" s="120"/>
      <c r="G40" s="120"/>
      <c r="H40" s="120"/>
      <c r="I40" s="120"/>
      <c r="J40" s="121"/>
      <c r="M40" s="23"/>
    </row>
    <row r="41" spans="2:13" ht="15" customHeight="1" x14ac:dyDescent="0.25">
      <c r="B41" s="125"/>
      <c r="C41" s="120"/>
      <c r="D41" s="120"/>
      <c r="E41" s="120"/>
      <c r="F41" s="120"/>
      <c r="G41" s="120"/>
      <c r="H41" s="120"/>
      <c r="I41" s="120"/>
      <c r="J41" s="121"/>
      <c r="M41" s="23"/>
    </row>
    <row r="42" spans="2:13" ht="147.75" customHeight="1" x14ac:dyDescent="0.25">
      <c r="B42" s="125"/>
      <c r="C42" s="120"/>
      <c r="D42" s="120"/>
      <c r="E42" s="120"/>
      <c r="F42" s="120"/>
      <c r="G42" s="120"/>
      <c r="H42" s="120"/>
      <c r="I42" s="120"/>
      <c r="J42" s="121"/>
      <c r="M42" s="23"/>
    </row>
    <row r="43" spans="2:13" ht="4.9000000000000004" customHeight="1" outlineLevel="1" x14ac:dyDescent="0.25">
      <c r="B43" s="125"/>
      <c r="C43" s="120"/>
      <c r="D43" s="120"/>
      <c r="E43" s="120"/>
      <c r="F43" s="120"/>
      <c r="G43" s="120"/>
      <c r="H43" s="120"/>
      <c r="I43" s="120"/>
      <c r="J43" s="121"/>
      <c r="M43" s="23"/>
    </row>
    <row r="44" spans="2:13" ht="13.9" hidden="1" customHeight="1" outlineLevel="1" x14ac:dyDescent="0.25">
      <c r="B44" s="125"/>
      <c r="C44" s="120"/>
      <c r="D44" s="120"/>
      <c r="E44" s="120"/>
      <c r="F44" s="120"/>
      <c r="G44" s="120"/>
      <c r="H44" s="120"/>
      <c r="I44" s="120"/>
      <c r="J44" s="121"/>
      <c r="M44" s="23"/>
    </row>
    <row r="45" spans="2:13" ht="27.6" hidden="1" customHeight="1" outlineLevel="1" x14ac:dyDescent="0.25">
      <c r="B45" s="125"/>
      <c r="C45" s="120"/>
      <c r="D45" s="120"/>
      <c r="E45" s="120"/>
      <c r="F45" s="120"/>
      <c r="G45" s="120"/>
      <c r="H45" s="120"/>
      <c r="I45" s="120"/>
      <c r="J45" s="121"/>
      <c r="M45" s="23"/>
    </row>
    <row r="46" spans="2:13" ht="13.9" hidden="1" customHeight="1" outlineLevel="1" x14ac:dyDescent="0.25">
      <c r="B46" s="126"/>
      <c r="C46" s="127"/>
      <c r="D46" s="127"/>
      <c r="E46" s="127"/>
      <c r="F46" s="127"/>
      <c r="G46" s="127"/>
      <c r="H46" s="127"/>
      <c r="I46" s="127"/>
      <c r="J46" s="128"/>
      <c r="M46" s="23"/>
    </row>
    <row r="47" spans="2:13" ht="14.25" customHeight="1" outlineLevel="1" x14ac:dyDescent="0.25">
      <c r="B47" s="99"/>
      <c r="C47" s="32"/>
      <c r="D47" s="32"/>
      <c r="E47" s="32"/>
      <c r="F47" s="32"/>
      <c r="G47" s="32"/>
      <c r="H47" s="32"/>
      <c r="I47" s="32"/>
      <c r="J47" s="100"/>
      <c r="M47" s="23"/>
    </row>
    <row r="48" spans="2:13" ht="22.9" hidden="1" customHeight="1" outlineLevel="2" x14ac:dyDescent="0.25">
      <c r="B48" s="99"/>
      <c r="C48" s="32"/>
      <c r="D48" s="32"/>
      <c r="E48" s="32"/>
      <c r="F48" s="32"/>
      <c r="G48" s="32"/>
      <c r="H48" s="32"/>
      <c r="I48" s="32"/>
      <c r="J48" s="100"/>
      <c r="M48" s="23"/>
    </row>
    <row r="49" spans="2:13" ht="22.9" hidden="1" customHeight="1" outlineLevel="2" x14ac:dyDescent="0.25">
      <c r="B49" s="99"/>
      <c r="C49" s="32"/>
      <c r="D49" s="32"/>
      <c r="E49" s="32"/>
      <c r="F49" s="32"/>
      <c r="G49" s="32"/>
      <c r="H49" s="32"/>
      <c r="I49" s="32"/>
      <c r="J49" s="100"/>
      <c r="M49" s="23"/>
    </row>
    <row r="50" spans="2:13" ht="22.9" hidden="1" customHeight="1" outlineLevel="2" x14ac:dyDescent="0.25">
      <c r="B50" s="99"/>
      <c r="C50" s="32"/>
      <c r="D50" s="32"/>
      <c r="E50" s="32"/>
      <c r="F50" s="32"/>
      <c r="G50" s="32"/>
      <c r="H50" s="32"/>
      <c r="I50" s="32"/>
      <c r="J50" s="100"/>
      <c r="M50" s="23"/>
    </row>
    <row r="51" spans="2:13" ht="22.9" hidden="1" customHeight="1" outlineLevel="3" x14ac:dyDescent="0.25">
      <c r="B51" s="99"/>
      <c r="C51" s="32"/>
      <c r="D51" s="32"/>
      <c r="E51" s="32"/>
      <c r="F51" s="32"/>
      <c r="G51" s="32"/>
      <c r="H51" s="32"/>
      <c r="I51" s="32"/>
      <c r="J51" s="100"/>
      <c r="M51" s="23"/>
    </row>
    <row r="52" spans="2:13" ht="22.9" hidden="1" customHeight="1" outlineLevel="3" x14ac:dyDescent="0.25">
      <c r="B52" s="99"/>
      <c r="C52" s="32"/>
      <c r="D52" s="32"/>
      <c r="E52" s="32"/>
      <c r="F52" s="32"/>
      <c r="G52" s="32"/>
      <c r="H52" s="32"/>
      <c r="I52" s="32"/>
      <c r="J52" s="100"/>
      <c r="M52" s="23"/>
    </row>
    <row r="53" spans="2:13" ht="23.25" customHeight="1" outlineLevel="4" x14ac:dyDescent="0.25">
      <c r="B53" s="141" t="s">
        <v>106</v>
      </c>
      <c r="C53" s="120"/>
      <c r="D53" s="120"/>
      <c r="E53" s="120"/>
      <c r="F53" s="120"/>
      <c r="G53" s="120"/>
      <c r="H53" s="120"/>
      <c r="I53" s="120"/>
      <c r="J53" s="121"/>
      <c r="M53" s="23"/>
    </row>
    <row r="54" spans="2:13" ht="15" customHeight="1" outlineLevel="4" thickBot="1" x14ac:dyDescent="0.3">
      <c r="B54" s="137"/>
      <c r="C54" s="123"/>
      <c r="D54" s="123"/>
      <c r="E54" s="123"/>
      <c r="F54" s="123"/>
      <c r="G54" s="123"/>
      <c r="H54" s="123"/>
      <c r="I54" s="123"/>
      <c r="J54" s="124"/>
      <c r="M54" s="23"/>
    </row>
    <row r="55" spans="2:13" ht="15" customHeight="1" outlineLevel="4" x14ac:dyDescent="0.25">
      <c r="B55" s="125"/>
      <c r="C55" s="120"/>
      <c r="D55" s="120"/>
      <c r="E55" s="120"/>
      <c r="F55" s="120"/>
      <c r="G55" s="120"/>
      <c r="H55" s="120"/>
      <c r="I55" s="120"/>
      <c r="J55" s="121"/>
      <c r="M55" s="23"/>
    </row>
    <row r="56" spans="2:13" ht="15" customHeight="1" outlineLevel="3" x14ac:dyDescent="0.25">
      <c r="B56" s="125"/>
      <c r="C56" s="120"/>
      <c r="D56" s="120"/>
      <c r="E56" s="120"/>
      <c r="F56" s="120"/>
      <c r="G56" s="120"/>
      <c r="H56" s="120"/>
      <c r="I56" s="120"/>
      <c r="J56" s="121"/>
      <c r="M56" s="23"/>
    </row>
    <row r="57" spans="2:13" ht="15" customHeight="1" outlineLevel="2" x14ac:dyDescent="0.25">
      <c r="B57" s="125"/>
      <c r="C57" s="120"/>
      <c r="D57" s="120"/>
      <c r="E57" s="120"/>
      <c r="F57" s="120"/>
      <c r="G57" s="120"/>
      <c r="H57" s="120"/>
      <c r="I57" s="120"/>
      <c r="J57" s="121"/>
      <c r="M57" s="23"/>
    </row>
    <row r="58" spans="2:13" ht="15" customHeight="1" outlineLevel="2" x14ac:dyDescent="0.25">
      <c r="B58" s="125"/>
      <c r="C58" s="120"/>
      <c r="D58" s="120"/>
      <c r="E58" s="120"/>
      <c r="F58" s="120"/>
      <c r="G58" s="120"/>
      <c r="H58" s="120"/>
      <c r="I58" s="120"/>
      <c r="J58" s="121"/>
      <c r="M58" s="23"/>
    </row>
    <row r="59" spans="2:13" ht="15" customHeight="1" outlineLevel="1" x14ac:dyDescent="0.25">
      <c r="B59" s="125"/>
      <c r="C59" s="120"/>
      <c r="D59" s="120"/>
      <c r="E59" s="120"/>
      <c r="F59" s="120"/>
      <c r="G59" s="120"/>
      <c r="H59" s="120"/>
      <c r="I59" s="120"/>
      <c r="J59" s="121"/>
      <c r="M59" s="23"/>
    </row>
    <row r="60" spans="2:13" ht="17.25" customHeight="1" outlineLevel="1" x14ac:dyDescent="0.25">
      <c r="B60" s="125"/>
      <c r="C60" s="120"/>
      <c r="D60" s="120"/>
      <c r="E60" s="120"/>
      <c r="F60" s="120"/>
      <c r="G60" s="120"/>
      <c r="H60" s="120"/>
      <c r="I60" s="120"/>
      <c r="J60" s="121"/>
      <c r="M60" s="23"/>
    </row>
    <row r="61" spans="2:13" ht="15" customHeight="1" outlineLevel="1" x14ac:dyDescent="0.25">
      <c r="B61" s="125"/>
      <c r="C61" s="120"/>
      <c r="D61" s="120"/>
      <c r="E61" s="120"/>
      <c r="F61" s="120"/>
      <c r="G61" s="120"/>
      <c r="H61" s="120"/>
      <c r="I61" s="120"/>
      <c r="J61" s="121"/>
      <c r="M61" s="23"/>
    </row>
    <row r="62" spans="2:13" ht="15" customHeight="1" x14ac:dyDescent="0.25">
      <c r="B62" s="125"/>
      <c r="C62" s="120"/>
      <c r="D62" s="120"/>
      <c r="E62" s="120"/>
      <c r="F62" s="120"/>
      <c r="G62" s="120"/>
      <c r="H62" s="120"/>
      <c r="I62" s="120"/>
      <c r="J62" s="121"/>
      <c r="M62" s="23"/>
    </row>
    <row r="63" spans="2:13" ht="15" customHeight="1" x14ac:dyDescent="0.25">
      <c r="B63" s="125"/>
      <c r="C63" s="120"/>
      <c r="D63" s="120"/>
      <c r="E63" s="120"/>
      <c r="F63" s="120"/>
      <c r="G63" s="120"/>
      <c r="H63" s="120"/>
      <c r="I63" s="120"/>
      <c r="J63" s="121"/>
      <c r="M63" s="23"/>
    </row>
    <row r="64" spans="2:13" ht="15" customHeight="1" x14ac:dyDescent="0.25">
      <c r="B64" s="125"/>
      <c r="C64" s="120"/>
      <c r="D64" s="120"/>
      <c r="E64" s="120"/>
      <c r="F64" s="120"/>
      <c r="G64" s="120"/>
      <c r="H64" s="120"/>
      <c r="I64" s="120"/>
      <c r="J64" s="121"/>
      <c r="M64" s="23"/>
    </row>
    <row r="65" spans="2:13" ht="15" customHeight="1" x14ac:dyDescent="0.25">
      <c r="B65" s="125"/>
      <c r="C65" s="120"/>
      <c r="D65" s="120"/>
      <c r="E65" s="120"/>
      <c r="F65" s="120"/>
      <c r="G65" s="120"/>
      <c r="H65" s="120"/>
      <c r="I65" s="120"/>
      <c r="J65" s="121"/>
      <c r="M65" s="23"/>
    </row>
    <row r="66" spans="2:13" ht="15" customHeight="1" x14ac:dyDescent="0.25">
      <c r="B66" s="125"/>
      <c r="C66" s="120"/>
      <c r="D66" s="120"/>
      <c r="E66" s="120"/>
      <c r="F66" s="120"/>
      <c r="G66" s="120"/>
      <c r="H66" s="120"/>
      <c r="I66" s="120"/>
      <c r="J66" s="121"/>
      <c r="M66" s="23"/>
    </row>
    <row r="67" spans="2:13" ht="15" customHeight="1" x14ac:dyDescent="0.25">
      <c r="B67" s="125"/>
      <c r="C67" s="120"/>
      <c r="D67" s="120"/>
      <c r="E67" s="120"/>
      <c r="F67" s="120"/>
      <c r="G67" s="120"/>
      <c r="H67" s="120"/>
      <c r="I67" s="120"/>
      <c r="J67" s="121"/>
      <c r="M67" s="23"/>
    </row>
    <row r="68" spans="2:13" ht="15" hidden="1" customHeight="1" outlineLevel="1" x14ac:dyDescent="0.25">
      <c r="B68" s="125"/>
      <c r="C68" s="120"/>
      <c r="D68" s="120"/>
      <c r="E68" s="120"/>
      <c r="F68" s="120"/>
      <c r="G68" s="120"/>
      <c r="H68" s="120"/>
      <c r="I68" s="120"/>
      <c r="J68" s="121"/>
      <c r="M68" s="23"/>
    </row>
    <row r="69" spans="2:13" ht="15" hidden="1" customHeight="1" outlineLevel="1" x14ac:dyDescent="0.25">
      <c r="B69" s="125"/>
      <c r="C69" s="120"/>
      <c r="D69" s="120"/>
      <c r="E69" s="120"/>
      <c r="F69" s="120"/>
      <c r="G69" s="120"/>
      <c r="H69" s="120"/>
      <c r="I69" s="120"/>
      <c r="J69" s="121"/>
      <c r="M69" s="23"/>
    </row>
    <row r="70" spans="2:13" ht="15" hidden="1" customHeight="1" outlineLevel="1" x14ac:dyDescent="0.25">
      <c r="B70" s="125"/>
      <c r="C70" s="120"/>
      <c r="D70" s="120"/>
      <c r="E70" s="120"/>
      <c r="F70" s="120"/>
      <c r="G70" s="120"/>
      <c r="H70" s="120"/>
      <c r="I70" s="120"/>
      <c r="J70" s="121"/>
      <c r="M70" s="23"/>
    </row>
    <row r="71" spans="2:13" ht="15" hidden="1" customHeight="1" outlineLevel="1" x14ac:dyDescent="0.25">
      <c r="B71" s="125"/>
      <c r="C71" s="120"/>
      <c r="D71" s="120"/>
      <c r="E71" s="120"/>
      <c r="F71" s="120"/>
      <c r="G71" s="120"/>
      <c r="H71" s="120"/>
      <c r="I71" s="120"/>
      <c r="J71" s="121"/>
      <c r="M71" s="23"/>
    </row>
    <row r="72" spans="2:13" ht="15" hidden="1" customHeight="1" outlineLevel="1" x14ac:dyDescent="0.25">
      <c r="B72" s="125"/>
      <c r="C72" s="120"/>
      <c r="D72" s="120"/>
      <c r="E72" s="120"/>
      <c r="F72" s="120"/>
      <c r="G72" s="120"/>
      <c r="H72" s="120"/>
      <c r="I72" s="120"/>
      <c r="J72" s="121"/>
      <c r="M72" s="23"/>
    </row>
    <row r="73" spans="2:13" ht="15" hidden="1" customHeight="1" outlineLevel="1" x14ac:dyDescent="0.25">
      <c r="B73" s="125"/>
      <c r="C73" s="120"/>
      <c r="D73" s="120"/>
      <c r="E73" s="120"/>
      <c r="F73" s="120"/>
      <c r="G73" s="120"/>
      <c r="H73" s="120"/>
      <c r="I73" s="120"/>
      <c r="J73" s="121"/>
      <c r="M73" s="23"/>
    </row>
    <row r="74" spans="2:13" ht="15" hidden="1" customHeight="1" outlineLevel="1" x14ac:dyDescent="0.25">
      <c r="B74" s="125"/>
      <c r="C74" s="120"/>
      <c r="D74" s="120"/>
      <c r="E74" s="120"/>
      <c r="F74" s="120"/>
      <c r="G74" s="120"/>
      <c r="H74" s="120"/>
      <c r="I74" s="120"/>
      <c r="J74" s="121"/>
      <c r="M74" s="23"/>
    </row>
    <row r="75" spans="2:13" ht="15" hidden="1" customHeight="1" outlineLevel="1" x14ac:dyDescent="0.25">
      <c r="B75" s="125"/>
      <c r="C75" s="120"/>
      <c r="D75" s="120"/>
      <c r="E75" s="120"/>
      <c r="F75" s="120"/>
      <c r="G75" s="120"/>
      <c r="H75" s="120"/>
      <c r="I75" s="120"/>
      <c r="J75" s="121"/>
      <c r="M75" s="23"/>
    </row>
    <row r="76" spans="2:13" ht="15" hidden="1" customHeight="1" outlineLevel="1" x14ac:dyDescent="0.25">
      <c r="B76" s="125"/>
      <c r="C76" s="120"/>
      <c r="D76" s="120"/>
      <c r="E76" s="120"/>
      <c r="F76" s="120"/>
      <c r="G76" s="120"/>
      <c r="H76" s="120"/>
      <c r="I76" s="120"/>
      <c r="J76" s="121"/>
      <c r="M76" s="23"/>
    </row>
    <row r="77" spans="2:13" ht="15" customHeight="1" collapsed="1" x14ac:dyDescent="0.25">
      <c r="B77" s="125"/>
      <c r="C77" s="120"/>
      <c r="D77" s="120"/>
      <c r="E77" s="120"/>
      <c r="F77" s="120"/>
      <c r="G77" s="120"/>
      <c r="H77" s="120"/>
      <c r="I77" s="120"/>
      <c r="J77" s="121"/>
      <c r="M77" s="23"/>
    </row>
    <row r="78" spans="2:13" ht="15" customHeight="1" x14ac:dyDescent="0.25">
      <c r="B78" s="125"/>
      <c r="C78" s="120"/>
      <c r="D78" s="120"/>
      <c r="E78" s="120"/>
      <c r="F78" s="120"/>
      <c r="G78" s="120"/>
      <c r="H78" s="120"/>
      <c r="I78" s="120"/>
      <c r="J78" s="121"/>
      <c r="M78" s="23"/>
    </row>
    <row r="79" spans="2:13" ht="15" customHeight="1" x14ac:dyDescent="0.25">
      <c r="B79" s="125"/>
      <c r="C79" s="120"/>
      <c r="D79" s="120"/>
      <c r="E79" s="120"/>
      <c r="F79" s="120"/>
      <c r="G79" s="120"/>
      <c r="H79" s="120"/>
      <c r="I79" s="120"/>
      <c r="J79" s="121"/>
      <c r="M79" s="23"/>
    </row>
    <row r="80" spans="2:13" ht="109.5" customHeight="1" thickBot="1" x14ac:dyDescent="0.3">
      <c r="B80" s="138"/>
      <c r="C80" s="139"/>
      <c r="D80" s="139"/>
      <c r="E80" s="139"/>
      <c r="F80" s="139"/>
      <c r="G80" s="139"/>
      <c r="H80" s="139"/>
      <c r="I80" s="139"/>
      <c r="J80" s="140"/>
      <c r="M80" s="23"/>
    </row>
    <row r="81" spans="2:13" ht="102.75" customHeight="1" x14ac:dyDescent="0.25">
      <c r="B81" s="147" t="str">
        <f>IF('[1]Механика подсчета результатов'!$AA$3=4,"","Ознакомьтесь с другими стилями")</f>
        <v>Ознакомьтесь с другими стилями</v>
      </c>
      <c r="C81" s="120"/>
      <c r="D81" s="120"/>
      <c r="E81" s="120"/>
      <c r="F81" s="120"/>
      <c r="G81" s="120"/>
      <c r="H81" s="120"/>
      <c r="I81" s="120"/>
      <c r="J81" s="121"/>
      <c r="M81" s="58" t="s">
        <v>150</v>
      </c>
    </row>
    <row r="82" spans="2:13" ht="15" customHeight="1" x14ac:dyDescent="0.25">
      <c r="B82" s="148"/>
      <c r="C82" s="120"/>
      <c r="D82" s="120"/>
      <c r="E82" s="120"/>
      <c r="F82" s="120"/>
      <c r="G82" s="120"/>
      <c r="H82" s="120"/>
      <c r="I82" s="120"/>
      <c r="J82" s="121"/>
      <c r="M82" s="23"/>
    </row>
    <row r="83" spans="2:13" ht="15" customHeight="1" x14ac:dyDescent="0.25">
      <c r="B83" s="122"/>
      <c r="C83" s="123"/>
      <c r="D83" s="123"/>
      <c r="E83" s="123"/>
      <c r="F83" s="123"/>
      <c r="G83" s="123"/>
      <c r="H83" s="123"/>
      <c r="I83" s="123"/>
      <c r="J83" s="124"/>
      <c r="M83" s="23"/>
    </row>
    <row r="84" spans="2:13" ht="15" customHeight="1" x14ac:dyDescent="0.25">
      <c r="B84" s="125"/>
      <c r="C84" s="120"/>
      <c r="D84" s="120"/>
      <c r="E84" s="120"/>
      <c r="F84" s="120"/>
      <c r="G84" s="120"/>
      <c r="H84" s="120"/>
      <c r="I84" s="120"/>
      <c r="J84" s="121"/>
      <c r="M84" s="23"/>
    </row>
    <row r="85" spans="2:13" ht="15" customHeight="1" x14ac:dyDescent="0.25">
      <c r="B85" s="125"/>
      <c r="C85" s="120"/>
      <c r="D85" s="120"/>
      <c r="E85" s="120"/>
      <c r="F85" s="120"/>
      <c r="G85" s="120"/>
      <c r="H85" s="120"/>
      <c r="I85" s="120"/>
      <c r="J85" s="121"/>
      <c r="M85" s="23"/>
    </row>
    <row r="86" spans="2:13" ht="14.25" customHeight="1" x14ac:dyDescent="0.25">
      <c r="B86" s="125"/>
      <c r="C86" s="120"/>
      <c r="D86" s="120"/>
      <c r="E86" s="120"/>
      <c r="F86" s="120"/>
      <c r="G86" s="120"/>
      <c r="H86" s="120"/>
      <c r="I86" s="120"/>
      <c r="J86" s="121"/>
      <c r="M86" s="23"/>
    </row>
    <row r="87" spans="2:13" ht="61.5" hidden="1" customHeight="1" x14ac:dyDescent="0.25">
      <c r="B87" s="126"/>
      <c r="C87" s="127"/>
      <c r="D87" s="127"/>
      <c r="E87" s="127"/>
      <c r="F87" s="127"/>
      <c r="G87" s="127"/>
      <c r="H87" s="127"/>
      <c r="I87" s="127"/>
      <c r="J87" s="128"/>
      <c r="M87" s="23"/>
    </row>
    <row r="88" spans="2:13" ht="15" customHeight="1" x14ac:dyDescent="0.25">
      <c r="B88" s="119"/>
      <c r="C88" s="120"/>
      <c r="D88" s="120"/>
      <c r="E88" s="120"/>
      <c r="F88" s="120"/>
      <c r="G88" s="120"/>
      <c r="H88" s="120"/>
      <c r="I88" s="120"/>
      <c r="J88" s="121"/>
      <c r="M88" s="23"/>
    </row>
    <row r="89" spans="2:13" ht="15" customHeight="1" x14ac:dyDescent="0.25">
      <c r="B89" s="122"/>
      <c r="C89" s="123"/>
      <c r="D89" s="123"/>
      <c r="E89" s="123"/>
      <c r="F89" s="123"/>
      <c r="G89" s="123"/>
      <c r="H89" s="123"/>
      <c r="I89" s="123"/>
      <c r="J89" s="124"/>
      <c r="M89" s="23"/>
    </row>
    <row r="90" spans="2:13" ht="27.75" customHeight="1" x14ac:dyDescent="0.25">
      <c r="B90" s="125"/>
      <c r="C90" s="120"/>
      <c r="D90" s="120"/>
      <c r="E90" s="120"/>
      <c r="F90" s="120"/>
      <c r="G90" s="120"/>
      <c r="H90" s="120"/>
      <c r="I90" s="120"/>
      <c r="J90" s="121"/>
      <c r="M90" s="23"/>
    </row>
    <row r="91" spans="2:13" ht="15" customHeight="1" x14ac:dyDescent="0.25">
      <c r="B91" s="125"/>
      <c r="C91" s="120"/>
      <c r="D91" s="120"/>
      <c r="E91" s="120"/>
      <c r="F91" s="120"/>
      <c r="G91" s="120"/>
      <c r="H91" s="120"/>
      <c r="I91" s="120"/>
      <c r="J91" s="121"/>
      <c r="M91" s="23"/>
    </row>
    <row r="92" spans="2:13" ht="15" customHeight="1" x14ac:dyDescent="0.25">
      <c r="B92" s="125"/>
      <c r="C92" s="120"/>
      <c r="D92" s="120"/>
      <c r="E92" s="120"/>
      <c r="F92" s="120"/>
      <c r="G92" s="120"/>
      <c r="H92" s="120"/>
      <c r="I92" s="120"/>
      <c r="J92" s="121"/>
      <c r="M92" s="23"/>
    </row>
    <row r="93" spans="2:13" ht="15" customHeight="1" x14ac:dyDescent="0.25">
      <c r="B93" s="126"/>
      <c r="C93" s="127"/>
      <c r="D93" s="127"/>
      <c r="E93" s="127"/>
      <c r="F93" s="127"/>
      <c r="G93" s="127"/>
      <c r="H93" s="127"/>
      <c r="I93" s="127"/>
      <c r="J93" s="128"/>
      <c r="M93" s="23"/>
    </row>
    <row r="94" spans="2:13" ht="15" customHeight="1" x14ac:dyDescent="0.25">
      <c r="B94" s="119" t="str">
        <f>IF(OR('[1]Механика подсчета результатов'!$AA$3=4,3&gt;(4-'[1]Механика подсчета результатов'!$AA$3)),"",'[1]Механика подсчета результатов'!$AW$3)</f>
        <v/>
      </c>
      <c r="C94" s="120"/>
      <c r="D94" s="120"/>
      <c r="E94" s="120"/>
      <c r="F94" s="120"/>
      <c r="G94" s="120"/>
      <c r="H94" s="120"/>
      <c r="I94" s="120"/>
      <c r="J94" s="121"/>
      <c r="M94" s="23"/>
    </row>
    <row r="95" spans="2:13" ht="9" customHeight="1" x14ac:dyDescent="0.25">
      <c r="B95" s="119"/>
      <c r="C95" s="120"/>
      <c r="D95" s="120"/>
      <c r="E95" s="120"/>
      <c r="F95" s="120"/>
      <c r="G95" s="120"/>
      <c r="H95" s="120"/>
      <c r="I95" s="120"/>
      <c r="J95" s="121"/>
      <c r="M95" s="23"/>
    </row>
    <row r="96" spans="2:13" ht="15" customHeight="1" x14ac:dyDescent="0.25">
      <c r="B96" s="122"/>
      <c r="C96" s="123"/>
      <c r="D96" s="123"/>
      <c r="E96" s="123"/>
      <c r="F96" s="123"/>
      <c r="G96" s="123"/>
      <c r="H96" s="123"/>
      <c r="I96" s="123"/>
      <c r="J96" s="124"/>
      <c r="M96" s="23"/>
    </row>
    <row r="97" spans="2:13" ht="15" customHeight="1" x14ac:dyDescent="0.25">
      <c r="B97" s="125"/>
      <c r="C97" s="120"/>
      <c r="D97" s="120"/>
      <c r="E97" s="120"/>
      <c r="F97" s="120"/>
      <c r="G97" s="120"/>
      <c r="H97" s="120"/>
      <c r="I97" s="120"/>
      <c r="J97" s="121"/>
      <c r="M97" s="23"/>
    </row>
    <row r="98" spans="2:13" ht="15" customHeight="1" x14ac:dyDescent="0.25">
      <c r="B98" s="125"/>
      <c r="C98" s="120"/>
      <c r="D98" s="120"/>
      <c r="E98" s="120"/>
      <c r="F98" s="120"/>
      <c r="G98" s="120"/>
      <c r="H98" s="120"/>
      <c r="I98" s="120"/>
      <c r="J98" s="121"/>
      <c r="M98" s="23"/>
    </row>
    <row r="99" spans="2:13" ht="15" customHeight="1" x14ac:dyDescent="0.25">
      <c r="B99" s="125"/>
      <c r="C99" s="120"/>
      <c r="D99" s="120"/>
      <c r="E99" s="120"/>
      <c r="F99" s="120"/>
      <c r="G99" s="120"/>
      <c r="H99" s="120"/>
      <c r="I99" s="120"/>
      <c r="J99" s="121"/>
      <c r="M99" s="23"/>
    </row>
    <row r="100" spans="2:13" ht="15" customHeight="1" x14ac:dyDescent="0.25">
      <c r="B100" s="126"/>
      <c r="C100" s="127"/>
      <c r="D100" s="127"/>
      <c r="E100" s="127"/>
      <c r="F100" s="127"/>
      <c r="G100" s="127"/>
      <c r="H100" s="127"/>
      <c r="I100" s="127"/>
      <c r="J100" s="128"/>
      <c r="M100" s="23"/>
    </row>
    <row r="101" spans="2:13" ht="15" customHeight="1" x14ac:dyDescent="0.25">
      <c r="B101" s="119" t="str">
        <f>IF(OR('[1]Механика подсчета результатов'!$AA$3=4,3&gt;(4-'[1]Механика подсчета результатов'!$AA$3)),"",'[1]Механика подсчета результатов'!$AW$3)</f>
        <v/>
      </c>
      <c r="C101" s="120"/>
      <c r="D101" s="120"/>
      <c r="E101" s="120"/>
      <c r="F101" s="120"/>
      <c r="G101" s="120"/>
      <c r="H101" s="120"/>
      <c r="I101" s="120"/>
      <c r="J101" s="121"/>
      <c r="M101" s="23"/>
    </row>
    <row r="102" spans="2:13" ht="15" customHeight="1" x14ac:dyDescent="0.25">
      <c r="M102" s="23"/>
    </row>
    <row r="103" spans="2:13" ht="15" customHeight="1" x14ac:dyDescent="0.25">
      <c r="M103" s="23"/>
    </row>
    <row r="104" spans="2:13" ht="15" customHeight="1" x14ac:dyDescent="0.25">
      <c r="M104" s="23"/>
    </row>
    <row r="105" spans="2:13" ht="15" customHeight="1" x14ac:dyDescent="0.25">
      <c r="M105" s="23"/>
    </row>
    <row r="106" spans="2:13" ht="15" customHeight="1" x14ac:dyDescent="0.25">
      <c r="M106" s="23"/>
    </row>
    <row r="107" spans="2:13" ht="15" customHeight="1" x14ac:dyDescent="0.25">
      <c r="M107" s="23"/>
    </row>
    <row r="108" spans="2:13" ht="15" customHeight="1" x14ac:dyDescent="0.25">
      <c r="M108" s="23"/>
    </row>
    <row r="109" spans="2:13" ht="15" customHeight="1" x14ac:dyDescent="0.25">
      <c r="M109" s="23"/>
    </row>
    <row r="110" spans="2:13" ht="15" customHeight="1" x14ac:dyDescent="0.25">
      <c r="M110" s="23"/>
    </row>
    <row r="111" spans="2:13" ht="15" customHeight="1" x14ac:dyDescent="0.25">
      <c r="M111" s="23"/>
    </row>
    <row r="112" spans="2:13" ht="15" customHeight="1" x14ac:dyDescent="0.25">
      <c r="M112" s="23"/>
    </row>
    <row r="113" spans="13:13" ht="15" customHeight="1" x14ac:dyDescent="0.25">
      <c r="M113" s="23"/>
    </row>
    <row r="114" spans="13:13" ht="15" customHeight="1" x14ac:dyDescent="0.25">
      <c r="M114" s="23"/>
    </row>
    <row r="115" spans="13:13" ht="15" customHeight="1" x14ac:dyDescent="0.25">
      <c r="M115" s="23"/>
    </row>
    <row r="116" spans="13:13" ht="15" customHeight="1" x14ac:dyDescent="0.25">
      <c r="M116" s="23"/>
    </row>
    <row r="117" spans="13:13" ht="15" customHeight="1" x14ac:dyDescent="0.25">
      <c r="M117" s="23"/>
    </row>
    <row r="118" spans="13:13" ht="15" customHeight="1" x14ac:dyDescent="0.25">
      <c r="M118" s="23"/>
    </row>
    <row r="119" spans="13:13" ht="15" customHeight="1" x14ac:dyDescent="0.25">
      <c r="M119" s="23"/>
    </row>
    <row r="120" spans="13:13" ht="15" customHeight="1" x14ac:dyDescent="0.25">
      <c r="M120" s="23"/>
    </row>
    <row r="121" spans="13:13" ht="15" customHeight="1" x14ac:dyDescent="0.25">
      <c r="M121" s="23"/>
    </row>
  </sheetData>
  <mergeCells count="27">
    <mergeCell ref="B88:J88"/>
    <mergeCell ref="B89:J93"/>
    <mergeCell ref="B94:J94"/>
    <mergeCell ref="B81:J81"/>
    <mergeCell ref="B82:J82"/>
    <mergeCell ref="B83:J87"/>
    <mergeCell ref="B13:J13"/>
    <mergeCell ref="H25:I25"/>
    <mergeCell ref="D26:E26"/>
    <mergeCell ref="B53:J53"/>
    <mergeCell ref="B26:C26"/>
    <mergeCell ref="B95:J95"/>
    <mergeCell ref="B96:J100"/>
    <mergeCell ref="B101:J101"/>
    <mergeCell ref="B1:J2"/>
    <mergeCell ref="B14:J22"/>
    <mergeCell ref="B24:J24"/>
    <mergeCell ref="B25:C25"/>
    <mergeCell ref="F25:G25"/>
    <mergeCell ref="B54:J80"/>
    <mergeCell ref="B30:J30"/>
    <mergeCell ref="B5:J11"/>
    <mergeCell ref="B4:J4"/>
    <mergeCell ref="F26:G26"/>
    <mergeCell ref="H26:I26"/>
    <mergeCell ref="B31:J46"/>
    <mergeCell ref="D25:E25"/>
  </mergeCells>
  <pageMargins left="0.70000004768371582" right="0.70000004768371582" top="0.75" bottom="0.75" header="0.5118110179901123" footer="0.511811017990112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Тест_в2</vt:lpstr>
      <vt:lpstr>Механика подсчета результатов</vt:lpstr>
      <vt:lpstr>Вводная часть отчета</vt:lpstr>
      <vt:lpstr>Все стили и профили</vt:lpstr>
      <vt:lpstr>Прототип отчета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Черток Татьяна Владимировна</cp:lastModifiedBy>
  <dcterms:created xsi:type="dcterms:W3CDTF">2026-07-31T11:12:52Z</dcterms:created>
  <dcterms:modified xsi:type="dcterms:W3CDTF">2026-08-27T08:13:01Z</dcterms:modified>
</cp:coreProperties>
</file>