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C:\Repositories\test-builder\docs\references\"/>
    </mc:Choice>
  </mc:AlternateContent>
  <xr:revisionPtr revIDLastSave="0" documentId="8_{B1190E29-65A8-44A2-B898-F0F93A6A4F2B}" xr6:coauthVersionLast="47" xr6:coauthVersionMax="47" xr10:uidLastSave="{00000000-0000-0000-0000-000000000000}"/>
  <bookViews>
    <workbookView xWindow="-108" yWindow="-108" windowWidth="23256" windowHeight="13896" activeTab="2" xr2:uid="{00000000-000D-0000-FFFF-FFFF00000000}"/>
  </bookViews>
  <sheets>
    <sheet name="Тест_в1" sheetId="1" state="hidden" r:id="rId1"/>
    <sheet name="Тест_в2" sheetId="2" r:id="rId2"/>
    <sheet name="Механика подсчета результатов" sheetId="3" r:id="rId3"/>
    <sheet name="1. Вводная часть отчета" sheetId="4" r:id="rId4"/>
    <sheet name="2. Харак-ка стилей" sheetId="5" r:id="rId5"/>
    <sheet name="3. Рекомендации по вед стилю " sheetId="6" r:id="rId6"/>
    <sheet name="4.Рекомендации по слаб стилю" sheetId="7" state="hidden" r:id="rId7"/>
    <sheet name="4.Прототип отчета" sheetId="8" r:id="rId8"/>
    <sheet name="Справка" sheetId="9" r:id="rId9"/>
  </sheets>
  <definedNames>
    <definedName name="_xlnm._FilterDatabase" localSheetId="1" hidden="1">Тест_в2!$A$7:$E$91</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8" l="1"/>
  <c r="B5" i="8"/>
  <c r="B89" i="7"/>
  <c r="B81" i="7"/>
  <c r="B73" i="7"/>
  <c r="B65" i="7"/>
  <c r="B61" i="7"/>
  <c r="B56" i="7"/>
  <c r="B51" i="7"/>
  <c r="B46" i="7"/>
  <c r="B9" i="7"/>
  <c r="B4" i="7"/>
  <c r="N15" i="3"/>
  <c r="M15" i="3"/>
  <c r="L15" i="3"/>
  <c r="K15" i="3"/>
  <c r="O15" i="3" s="1"/>
  <c r="N14" i="3"/>
  <c r="M14" i="3"/>
  <c r="L14" i="3"/>
  <c r="K14" i="3"/>
  <c r="O14" i="3" s="1"/>
  <c r="N13" i="3"/>
  <c r="M13" i="3"/>
  <c r="L13" i="3"/>
  <c r="K13" i="3"/>
  <c r="O13" i="3" s="1"/>
  <c r="N12" i="3"/>
  <c r="M12" i="3"/>
  <c r="L12" i="3"/>
  <c r="K12" i="3"/>
  <c r="O12" i="3" s="1"/>
  <c r="N11" i="3"/>
  <c r="M11" i="3"/>
  <c r="L11" i="3"/>
  <c r="K11" i="3"/>
  <c r="O11" i="3" s="1"/>
  <c r="N10" i="3"/>
  <c r="M10" i="3"/>
  <c r="L10" i="3"/>
  <c r="K10" i="3"/>
  <c r="O10" i="3" s="1"/>
  <c r="N9" i="3"/>
  <c r="M9" i="3"/>
  <c r="L9" i="3"/>
  <c r="K9" i="3"/>
  <c r="O9" i="3" s="1"/>
  <c r="N8" i="3"/>
  <c r="M8" i="3"/>
  <c r="L8" i="3"/>
  <c r="K8" i="3"/>
  <c r="O8" i="3" s="1"/>
  <c r="N7" i="3"/>
  <c r="M7" i="3"/>
  <c r="L7" i="3"/>
  <c r="K7" i="3"/>
  <c r="O7" i="3" s="1"/>
  <c r="N6" i="3"/>
  <c r="M6" i="3"/>
  <c r="L6" i="3"/>
  <c r="K6" i="3"/>
  <c r="O6" i="3" s="1"/>
  <c r="N5" i="3"/>
  <c r="M5" i="3"/>
  <c r="L5" i="3"/>
  <c r="K5" i="3"/>
  <c r="O5" i="3" s="1"/>
  <c r="N4" i="3"/>
  <c r="M4" i="3"/>
  <c r="L4" i="3"/>
  <c r="K4" i="3"/>
  <c r="O4" i="3" s="1"/>
  <c r="N3" i="3"/>
  <c r="M3" i="3"/>
  <c r="L3" i="3"/>
  <c r="K3" i="3"/>
  <c r="O3" i="3" s="1"/>
  <c r="N2" i="3"/>
  <c r="M2" i="3"/>
  <c r="L2" i="3"/>
  <c r="L16" i="3" s="1"/>
  <c r="S2" i="3" s="1"/>
  <c r="K2" i="3"/>
  <c r="O2" i="3" s="1"/>
  <c r="D88" i="2"/>
  <c r="D87" i="2"/>
  <c r="D82" i="2"/>
  <c r="D81" i="2"/>
  <c r="D76" i="2"/>
  <c r="D75" i="2"/>
  <c r="D70" i="2"/>
  <c r="D69" i="2"/>
  <c r="D64" i="2"/>
  <c r="D63" i="2"/>
  <c r="D58" i="2"/>
  <c r="D57" i="2"/>
  <c r="D52" i="2"/>
  <c r="D51" i="2"/>
  <c r="D46" i="2"/>
  <c r="D45" i="2"/>
  <c r="D40" i="2"/>
  <c r="D39" i="2"/>
  <c r="D34" i="2"/>
  <c r="D33" i="2"/>
  <c r="D28" i="2"/>
  <c r="D27" i="2"/>
  <c r="D22" i="2"/>
  <c r="D21" i="2"/>
  <c r="D16" i="2"/>
  <c r="D15" i="2"/>
  <c r="D10" i="2"/>
  <c r="D9" i="2"/>
  <c r="M16" i="3" l="1"/>
  <c r="T2" i="3" s="1"/>
  <c r="N16" i="3"/>
  <c r="U2" i="3" s="1"/>
  <c r="O5" i="8" s="1"/>
  <c r="K5" i="7"/>
  <c r="H26" i="8"/>
  <c r="K3" i="7"/>
  <c r="D26" i="8"/>
  <c r="O3" i="8"/>
  <c r="F26" i="8"/>
  <c r="O4" i="8"/>
  <c r="K4" i="7"/>
  <c r="K16" i="3"/>
  <c r="O16" i="3" l="1"/>
  <c r="R2" i="3"/>
  <c r="O2" i="8" l="1"/>
  <c r="S21" i="3"/>
  <c r="K2" i="7"/>
  <c r="M21" i="3"/>
  <c r="V2" i="3"/>
  <c r="B26" i="8"/>
  <c r="S20" i="3"/>
  <c r="B111" i="7" l="1"/>
  <c r="B29" i="8"/>
  <c r="B32" i="7"/>
  <c r="B30" i="7"/>
  <c r="S22" i="3"/>
  <c r="S23" i="3" s="1"/>
  <c r="B81" i="8"/>
  <c r="B65" i="8"/>
  <c r="B53" i="8"/>
  <c r="B76" i="8"/>
  <c r="B64" i="8"/>
  <c r="B33" i="8"/>
  <c r="B75" i="8"/>
  <c r="B59" i="8"/>
  <c r="B89" i="8"/>
  <c r="B70" i="8"/>
  <c r="B54" i="8"/>
</calcChain>
</file>

<file path=xl/sharedStrings.xml><?xml version="1.0" encoding="utf-8"?>
<sst xmlns="http://schemas.openxmlformats.org/spreadsheetml/2006/main" count="487" uniqueCount="226">
  <si>
    <t>Тест</t>
  </si>
  <si>
    <t>b</t>
  </si>
  <si>
    <t>Цель теста- оценить собственное восприятие стиля человекоцентричности через фокус на людей или на задачи. Другими словами,  через какой стиль лидер проявляет свою человекоцентричность-через поддержку и развитие людей или через эффективное решение задач.</t>
  </si>
  <si>
    <t>c</t>
  </si>
  <si>
    <t>a</t>
  </si>
  <si>
    <t>1.</t>
  </si>
  <si>
    <t>d</t>
  </si>
  <si>
    <t>Как работать с тестом? Вам будет предложено 12 блоков рабочих ситуаций. В каждой из ситуаций задача распределить 6 или 7 баллов - что больше похоже ваше поведение как лидера. Если вы согласны с утверждением на все 100% вы можете отдать ему все 7 баллов. Проверьте, чтобы сумма баллов по каждому блоку не превышала 7.</t>
  </si>
  <si>
    <t xml:space="preserve">Клиент (заказчик) выражает сомнения в выборе предложенного вами решения, предлагая альтернативный подход. Какое действие, по-вашему мнению, будет наиболее правильным?
</t>
  </si>
  <si>
    <t>10.</t>
  </si>
  <si>
    <t>К (клиент)</t>
  </si>
  <si>
    <t>2.</t>
  </si>
  <si>
    <t>с Аней (распределить 7 баллов)?</t>
  </si>
  <si>
    <t>5.</t>
  </si>
  <si>
    <t xml:space="preserve">Подчиненный только что присоединился к команде и испытывает трудности с пониманием процессов. На чем, по-вашему мнению, надо сфокусироваться в процессе  его адаптации?
</t>
  </si>
  <si>
    <t>7.</t>
  </si>
  <si>
    <t>12.</t>
  </si>
  <si>
    <t>П (подчиненный)</t>
  </si>
  <si>
    <t xml:space="preserve">Заказчик просит провести обучающий семинар для его команды, чтобы лучше понять ваш продукт\услуги. Какое действие, по-вашему мнению, будет наиболее правильным?
</t>
  </si>
  <si>
    <t xml:space="preserve">Коллега делится новыми идеями для улучшения процесса. Какой вариант действия вы считаете наиболее правильным в этой ситуации?
</t>
  </si>
  <si>
    <t xml:space="preserve">Руководитель предлагает вам принять участие в важных переговорах. Какой вариант действий на этой встрече вы считаете наиболее правильным?
</t>
  </si>
  <si>
    <t>4.</t>
  </si>
  <si>
    <t>Кл (коллега)</t>
  </si>
  <si>
    <t>Р (руководитель)</t>
  </si>
  <si>
    <t xml:space="preserve">Руководитель предлагает вам возглавить новый проект. На каких вопросах вы считаете правильным сосредоточиться прежде всего?
</t>
  </si>
  <si>
    <t xml:space="preserve">Ваш подчиненный слабо справляется с задачами, регулярно допуская много ошибок. На чем вы считаете правильным сделать акцент во время вашей встречи?
</t>
  </si>
  <si>
    <t xml:space="preserve">3. </t>
  </si>
  <si>
    <t>Рекомендации по заполнению:</t>
  </si>
  <si>
    <t xml:space="preserve">Коллега просит вашего мнения по своему проекту, чтобы избежать ошибок. Какой вариант действия вы считаете наиболее правильным в данной ситуации?
</t>
  </si>
  <si>
    <t>8.</t>
  </si>
  <si>
    <t>6.</t>
  </si>
  <si>
    <t xml:space="preserve">Руководитель советуется с вами по решению, которое может повлиять на работу команды вашего отдела. Какой вариант действия вы считаете наиболее правильным?
</t>
  </si>
  <si>
    <t xml:space="preserve">Вы запланировали мотивационную беседу с эффективным сотрудником. На чем вы считаете правильным сделать акцент во время вашей встречи?
</t>
  </si>
  <si>
    <t>9.</t>
  </si>
  <si>
    <t xml:space="preserve">По завершению проекта заказчик просит сделать дополнительную работу. Какой вариант действия вы считаете наиболее правильным?
</t>
  </si>
  <si>
    <t>11.</t>
  </si>
  <si>
    <t>Вам надо выбрать коллегу в номинацию премии "Твой ход". Какой вариант действия вы считаете наиболее правильным в этой ситуации?</t>
  </si>
  <si>
    <t>Инструмент был разработан на основе модели человекоцентричного лидерства в Ростелекоме.</t>
  </si>
  <si>
    <t>Что вдохновляет вас как лидера?</t>
  </si>
  <si>
    <r>
      <rPr>
        <b/>
        <sz val="11"/>
        <color theme="1"/>
        <rFont val="Calibri"/>
        <family val="2"/>
        <charset val="204"/>
      </rPr>
      <t xml:space="preserve">Введение
</t>
    </r>
    <r>
      <rPr>
        <sz val="11"/>
        <color theme="1"/>
        <rFont val="Calibri"/>
        <family val="2"/>
        <charset val="204"/>
      </rPr>
      <t xml:space="preserve">Этот тест поможет определить ваш ведущий стиль человекоцентричного лидерства — индивидуального подхода, который вы используете для создания осмысленной, доброжелательной и продуктивной рабочей среды. 
</t>
    </r>
    <r>
      <rPr>
        <sz val="11"/>
        <color theme="1"/>
        <rFont val="Calibri"/>
        <family val="2"/>
        <charset val="204"/>
      </rPr>
      <t xml:space="preserve">Человекоцентричное лидерство — управленческий подход, при котором лидер создаёт ценность для организации через осмысленную заботу о людях: сотрудниках, коллегах, клиентах и партнёрах. 
</t>
    </r>
    <r>
      <rPr>
        <sz val="11"/>
        <color theme="1"/>
        <rFont val="Calibri"/>
        <family val="2"/>
        <charset val="204"/>
      </rPr>
      <t xml:space="preserve">Каждый лидер проявляет человекоцентричность через один из четырех стилей, соответствующих четырем векторам модели: Культура, Лидер, Процессы и практики, Стратегия. 
</t>
    </r>
    <r>
      <rPr>
        <sz val="11"/>
        <color theme="1"/>
        <rFont val="Calibri"/>
        <family val="2"/>
        <charset val="204"/>
      </rPr>
      <t xml:space="preserve">Тест раскрывает уникальность вашего стиля, его особенности, и не направлен на оценку уровня\индекса человекоцентричности.
</t>
    </r>
    <r>
      <rPr>
        <sz val="11"/>
        <color theme="1"/>
        <rFont val="Calibri"/>
        <family val="2"/>
        <charset val="204"/>
      </rPr>
      <t xml:space="preserve">Прохождение теста позволит вам:
</t>
    </r>
    <r>
      <rPr>
        <sz val="11"/>
        <color theme="1"/>
        <rFont val="Calibri"/>
        <family val="2"/>
        <charset val="204"/>
      </rPr>
      <t xml:space="preserve">- Узнать, какой стиль человекоцентричного лидерства вам ближе всего и как он проявляется в вашей работе.
</t>
    </r>
    <r>
      <rPr>
        <sz val="11"/>
        <color theme="1"/>
        <rFont val="Calibri"/>
        <family val="2"/>
        <charset val="204"/>
      </rPr>
      <t xml:space="preserve">- Понять, в каких ситуациях ваш стиль наиболее эффективен, а где стоит использовать другие подходы.
</t>
    </r>
    <r>
      <rPr>
        <sz val="11"/>
        <color theme="1"/>
        <rFont val="Calibri"/>
        <family val="2"/>
        <charset val="204"/>
      </rPr>
      <t xml:space="preserve">- Получить практические рекомендации по развитию вашего стиля для усиления влияния на команду и организацию.
</t>
    </r>
    <r>
      <rPr>
        <sz val="11"/>
        <color theme="1"/>
        <rFont val="Calibri"/>
        <family val="2"/>
        <charset val="204"/>
      </rPr>
      <t xml:space="preserve"> По завершению теста вы сможете ознакомиться со своим персональным отчетом.
</t>
    </r>
    <r>
      <rPr>
        <sz val="11"/>
        <color theme="1"/>
        <rFont val="Calibri"/>
        <family val="2"/>
        <charset val="204"/>
      </rPr>
      <t xml:space="preserve">Тест разработан на основе:
</t>
    </r>
    <r>
      <rPr>
        <sz val="11"/>
        <color theme="1"/>
        <rFont val="Calibri"/>
        <family val="2"/>
        <charset val="204"/>
      </rPr>
      <t xml:space="preserve">-Модели человекоцентричного лидерства в Ростелекоме
</t>
    </r>
    <r>
      <rPr>
        <sz val="11"/>
        <color theme="1"/>
        <rFont val="Calibri"/>
        <family val="2"/>
        <charset val="204"/>
      </rPr>
      <t xml:space="preserve">-Классической модели  Р.Лайкерта , объединяющую "Фокус на людей"- "Фокус на задачи"
</t>
    </r>
    <r>
      <rPr>
        <sz val="11"/>
        <color theme="1"/>
        <rFont val="Calibri"/>
        <family val="2"/>
        <charset val="204"/>
      </rPr>
      <t xml:space="preserve">-Теории цикла командного взаимодействия
</t>
    </r>
  </si>
  <si>
    <t>Процессный</t>
  </si>
  <si>
    <t>может быть где-то на портале разместить модель ЧЛ и дать на нее ссылку?</t>
  </si>
  <si>
    <t>мне тоже понравилась идея разместить модель ЧЛ т.к. читая описание стоит акцент именно на человекоцентр лидерстве и прям хочется задать вопрос что это? В чем отличие от лидерства? Что за методология.</t>
  </si>
  <si>
    <t>для проектной команды: 14 блоков- по 2 вопроса на каждый блок из цикла командного взаимодействия (7*2), чтобы обеспечить вариантивность и точнее определить ведущий стиль.</t>
  </si>
  <si>
    <t>Поскольку стилей всего 4, выводить 2 ведущих не хотелось бы. Дополнительное ограничение "минимум 2 балла" позволит более четко выделить ведущий стиль?</t>
  </si>
  <si>
    <t>Целеустремленный</t>
  </si>
  <si>
    <t>Видеть, что в команде вежливо общаются и готовы помогать друг другу</t>
  </si>
  <si>
    <t>Командный</t>
  </si>
  <si>
    <r>
      <rPr>
        <b/>
        <sz val="11"/>
        <color theme="1"/>
        <rFont val="Calibri"/>
        <family val="2"/>
        <charset val="204"/>
      </rPr>
      <t xml:space="preserve">Рекомендации по заполнению: 
</t>
    </r>
    <r>
      <rPr>
        <sz val="11"/>
        <color theme="1"/>
        <rFont val="Calibri"/>
        <family val="2"/>
        <charset val="204"/>
      </rPr>
      <t>Следите за подсказками, они помогут верно распределить баллы. Если какой-то из блоков бует пропущен или превышено\не хватает баллов по блоку, система предложит к нему вернуться. В конце теста вы получите отчет, в котором будет информация о вашем ведущем стиле человекоцентричного лидерства- его особенностях и рекомендации по усилению. Также с помощью отчета сможете ознакомиться с другими стилями. Обратите внимание, в тесте нет правильных или неправильных вариантов. Постарайтесь отвечать открыто и честно, не раздумывая долго. Тест не ограничен по времени.</t>
    </r>
  </si>
  <si>
    <t>Становлюсь медиатором, чтобы помочь коллегам договориться о командной работе</t>
  </si>
  <si>
    <t>Замечать,  что люди раскрывают потенциал, осваивают новое и берутся за развивающие задачи</t>
  </si>
  <si>
    <t>Вдохновляющий</t>
  </si>
  <si>
    <t xml:space="preserve"> </t>
  </si>
  <si>
    <t>блок 4\2(отношение к задачам, как я подхожу к работе)</t>
  </si>
  <si>
    <t>для проектной команды, не выводим для пользователя</t>
  </si>
  <si>
    <t>Видеть, как отлаженная мною система работает как часы</t>
  </si>
  <si>
    <t>Я помогаю команде сфокусироваться на главном и направляю наши усилия на то, чтобы цели были достигнуты в срок, несмотря на возникшие сложности</t>
  </si>
  <si>
    <t>Опирайся на цикл командного взаимодействия</t>
  </si>
  <si>
    <t>это только для проектной команды по опроснику: в основе создания блоков с вопросами полный цикл командного взаимодействия</t>
  </si>
  <si>
    <t>Я собираю команду для открытого обсуждения проблем, чтобы снять эмоциональное напряжение и вместе обсудить возникшие трудности</t>
  </si>
  <si>
    <t>Я вдохновляю команду на поиск нестандартных решений и своим примером показываю, как преодолеть возникшие трудности</t>
  </si>
  <si>
    <t>Я ищу "узкие места", которые привели к ошибке, в процессах,  чтобы устранить системный барьер и не допустить повторения инцидента в будущем</t>
  </si>
  <si>
    <t>Достигать невозможные, на первый взгляд, результаты для клиентов и заказчиков</t>
  </si>
  <si>
    <t>блок 5\2 (личное удовлетворение, что мне нравится в работе)</t>
  </si>
  <si>
    <t>Что помогает вам удерживать фокус в работе?</t>
  </si>
  <si>
    <t>блок 6\1 (отношение к другим, коллаборация)</t>
  </si>
  <si>
    <t xml:space="preserve">При заполнении пользователем ячейки с баллами, подсвечивается кол-во оставшихся баллов из 7. Если все 7 баллов использованы – всплывает сообщение «Вы использовали все баллы». </t>
  </si>
  <si>
    <t>Ключ для проектной команды (перемешиваем варианты, чтобы снизить очевидность)</t>
  </si>
  <si>
    <t>Доброжелательный микроклимат в команде</t>
  </si>
  <si>
    <t>блок 1/1 вклад в команду (что я привношу)</t>
  </si>
  <si>
    <t/>
  </si>
  <si>
    <t>Я продвигаю идеи коллег, создавая для них возможности развития</t>
  </si>
  <si>
    <t>Четкие и амбициозные цели, приносящие ценность компании</t>
  </si>
  <si>
    <t>Прозрачность в бизнес-процессах и регламентах</t>
  </si>
  <si>
    <t>Я проверяю идеи на соответствие принятым стандартам и реализуемость</t>
  </si>
  <si>
    <t>Я задаю амбициозные цели и помогаю команде создавать результат, приносящий ценность клиенту и обществу</t>
  </si>
  <si>
    <t>Рост и развитие сотрудников в команде</t>
  </si>
  <si>
    <t>Я создаю и поддерживаю в команде атмосферу взаимопомощи, уважения и доброжелательного общения</t>
  </si>
  <si>
    <t>блок 6\2(отношение к другим, коллаборация)</t>
  </si>
  <si>
    <t>Я создаю условия для развития и раскрытия потенциала сотрудников, воодушевляя личным примером</t>
  </si>
  <si>
    <t>блок 7\1 (финализация, результативность)</t>
  </si>
  <si>
    <t>На чем вы обычно сосредотачиваетесь, когда задача реализована?</t>
  </si>
  <si>
    <t>Я выстраиваю понятные договорённости и прозрачную организацию работы, убирая барьеры  в процессах</t>
  </si>
  <si>
    <t>блок 2\1 (мои ограничения как члена команды, теневая сторона)</t>
  </si>
  <si>
    <t xml:space="preserve">Обсуждаю с командой, как мы вместе можем усилиться </t>
  </si>
  <si>
    <t>Выступаю перед командой и более широким кругом лиц, мотивируя на новые достижения</t>
  </si>
  <si>
    <t>блок 7\2(финализация, результативность)</t>
  </si>
  <si>
    <t>Провожу аудит процессов, чтобы сделать их оптимальными</t>
  </si>
  <si>
    <t>блок 1/2 вклад в команду (что я привношу)</t>
  </si>
  <si>
    <t>Публичное признание успеха моей команды как способ поддержать их мотивацию и развитие</t>
  </si>
  <si>
    <t>Я могу быть настолько увлечён развитием людей и вдохновением, что упускаю контроль результатов</t>
  </si>
  <si>
    <t>блок 3\1 (работа с другими, стиль взаимодействия)</t>
  </si>
  <si>
    <t>Достижение сверхцелей и всех показателей, которые принесут пользу компании и коллегам</t>
  </si>
  <si>
    <t>Сплоченность и партнерство в команде, в которой не страшно говорить о недочетах</t>
  </si>
  <si>
    <t xml:space="preserve">Процессный </t>
  </si>
  <si>
    <t>Я транслирую связь задач с ценностью для клиента и общества, помогая команде прийти к лучшему результату</t>
  </si>
  <si>
    <t>Я объясняю, как устроена работа, чтобы каждый понимал свою роль, договорённости и следующий шаг</t>
  </si>
  <si>
    <t>блок 2\2 (мои ограничения как члена команды, теневая сторона)</t>
  </si>
  <si>
    <t>Что окружающие прощают вам как лидеру?</t>
  </si>
  <si>
    <t>Я помогаю людям увидеть смысл задачи, возможности для роста и поверить в свой потенциал</t>
  </si>
  <si>
    <t>Излишнюю мягкость, т.к я создаю комфортную среду для командной работы</t>
  </si>
  <si>
    <t>блок 4\1 (отношение к задачам, как я подхожу к работе)</t>
  </si>
  <si>
    <t>Эмоциональность, т.к мне важно вдохновить других</t>
  </si>
  <si>
    <t>Я задаю пример стремления к развитию и создаю условия для освоения нового</t>
  </si>
  <si>
    <t>Снижение гибкости, т.к я обеспечиваю соблюдение процессов и работу без ошибок</t>
  </si>
  <si>
    <t>Я систематизирую задачи, выстраиваю четкие алгоритмы и регламенты для их выполнения</t>
  </si>
  <si>
    <t>Напористость в некоторых ситуациях, т.к я сосредоточен на достижении ценности для заказчиков и клиентов</t>
  </si>
  <si>
    <t>Я контролирую ключевые показатели, четко слежу за достижением результата</t>
  </si>
  <si>
    <t>блок 3\2 (работа с другими, стиль взаимодействия)</t>
  </si>
  <si>
    <t>Я распределяю задачи, чтобы каждый чувствовал свою значимость, и поощряю взаимовыручку в команде</t>
  </si>
  <si>
    <t>блок 5\1 (личное удовлетворение, что мне нравится в работе)</t>
  </si>
  <si>
    <t>Перемешиваем варианты ответов</t>
  </si>
  <si>
    <t>Ведущий стиль:</t>
  </si>
  <si>
    <t>Таблица подсчета результатов</t>
  </si>
  <si>
    <t>максимальное кол-во баллов, к-ое можно набрать по одному стилю и вообще -98</t>
  </si>
  <si>
    <t>A</t>
  </si>
  <si>
    <t>C</t>
  </si>
  <si>
    <t>проверка</t>
  </si>
  <si>
    <t>B</t>
  </si>
  <si>
    <t>D</t>
  </si>
  <si>
    <t>Второй близкий стиль (если разница &lt;=5):</t>
  </si>
  <si>
    <t>StyleIdx</t>
  </si>
  <si>
    <t>блоки</t>
  </si>
  <si>
    <t>Разница баллов:</t>
  </si>
  <si>
    <t>А- «Целеустременный»</t>
  </si>
  <si>
    <t>Сумма баллов по стилю</t>
  </si>
  <si>
    <t>С- «Командый»</t>
  </si>
  <si>
    <t>В- «Вдохновлящий»</t>
  </si>
  <si>
    <t>D- «Процессный»</t>
  </si>
  <si>
    <t>Об отчете</t>
  </si>
  <si>
    <t>Об инструменте</t>
  </si>
  <si>
    <t xml:space="preserve">Поздравляем вас с завершением теста! Теперь можно познакомиться с результатами.
Данный отчет отображает результаты, полученные при прохождении теста. Тест предназначен для определения ведущего стиля, с помощью которого вы проявляете человеокцентричность. Цель отчета- выявить ваш наиболее предпочитаемый стиль и дать рекомендации по усилению человекоцентричной культуры в вашей команде.
Персональный отчет состоит из нескольких блоков:
-Введение
-Ваши результаты
-Характеристика других стилей
-Рекомендации по развитию вашего стиля человекоцентричного лидерства
</t>
  </si>
  <si>
    <r>
      <rPr>
        <sz val="11"/>
        <color theme="1"/>
        <rFont val="Calibri"/>
        <family val="2"/>
        <charset val="204"/>
      </rPr>
      <t xml:space="preserve">Инструмент диагностики "Тест на определение ведущего стиля человекоцентричного лидерства" создан на основе:
</t>
    </r>
    <r>
      <rPr>
        <sz val="11"/>
        <color theme="1"/>
        <rFont val="Calibri"/>
        <family val="2"/>
        <charset val="204"/>
      </rPr>
      <t xml:space="preserve">- Модели "Человекоцентричного лидерства в Ростелекоме", 
</t>
    </r>
    <r>
      <rPr>
        <sz val="11"/>
        <color theme="1"/>
        <rFont val="Calibri"/>
        <family val="2"/>
        <charset val="204"/>
      </rPr>
      <t xml:space="preserve">- Модели Р.Лайкерта "Фокус на людей"- "Фокус на задачи",
</t>
    </r>
    <r>
      <rPr>
        <sz val="11"/>
        <color theme="1"/>
        <rFont val="Calibri"/>
        <family val="2"/>
        <charset val="204"/>
      </rPr>
      <t xml:space="preserve">- Теории цикла командного взаимодействия.
</t>
    </r>
    <r>
      <rPr>
        <sz val="11"/>
        <color theme="1"/>
        <rFont val="Calibri"/>
        <family val="2"/>
        <charset val="204"/>
      </rPr>
      <t xml:space="preserve">Что такое человекоцентричное лидерство? - Это подход в управлении, где центром является человек: клиент, подчиненный, коллега, руководитель-все, с кем взаимодействует лидер в организации. Модель ЧЛ опирается на четыре вектора: </t>
    </r>
    <r>
      <rPr>
        <b/>
        <sz val="11"/>
        <color theme="1"/>
        <rFont val="Calibri"/>
        <family val="2"/>
        <charset val="204"/>
      </rPr>
      <t>Культура, Лидер, Процессы и практики, Стратегия</t>
    </r>
    <r>
      <rPr>
        <sz val="11"/>
        <color theme="1"/>
        <rFont val="Calibri"/>
        <family val="2"/>
        <charset val="204"/>
      </rPr>
      <t xml:space="preserve">. Каждому вектору соответствует определенный стиль. 
</t>
    </r>
    <r>
      <rPr>
        <sz val="11"/>
        <color theme="1"/>
        <rFont val="Calibri"/>
        <family val="2"/>
        <charset val="204"/>
      </rPr>
      <t>Важно: данный тест не направлен на выявление целегового или желательного уровня\индекса человекоцентричности. Он способствует понимаю лидера особенностей своего стиля, а также ситуаций, в которых данный стиль будет предпочтителен, а где стоит применять другие подходы.</t>
    </r>
  </si>
  <si>
    <t>Стиль "Целеустремленный"</t>
  </si>
  <si>
    <t>Стиль "Командный"</t>
  </si>
  <si>
    <t>Стиль "Вдохновляющий"</t>
  </si>
  <si>
    <t>Стиль "Процессный"</t>
  </si>
  <si>
    <r>
      <rPr>
        <b/>
        <sz val="11"/>
        <color theme="1"/>
        <rFont val="Calibri"/>
        <family val="2"/>
        <charset val="204"/>
      </rPr>
      <t xml:space="preserve">Характеристика:
</t>
    </r>
    <r>
      <rPr>
        <sz val="11"/>
        <color theme="1"/>
        <rFont val="Calibri"/>
        <family val="2"/>
        <charset val="204"/>
      </rPr>
      <t xml:space="preserve">Данный стиль ориентирован на результат и создание ценности для клиентов. Вектор в модели человекоцентричности- </t>
    </r>
    <r>
      <rPr>
        <b/>
        <sz val="11"/>
        <color theme="1"/>
        <rFont val="Calibri"/>
        <family val="2"/>
        <charset val="204"/>
      </rPr>
      <t>Стратегия</t>
    </r>
    <r>
      <rPr>
        <sz val="11"/>
        <color theme="1"/>
        <rFont val="Calibri"/>
        <family val="2"/>
        <charset val="204"/>
      </rPr>
      <t xml:space="preserve">. Приоритеты — цели, достижения, своевременные решения, создание ценности для клиента и общества.
</t>
    </r>
    <r>
      <rPr>
        <sz val="11"/>
        <color theme="1"/>
        <rFont val="Calibri"/>
        <family val="2"/>
        <charset val="204"/>
      </rPr>
      <t xml:space="preserve">Целеустремлённый лидер проявляет человекоцентричность через ясность целей и достижение результата, который приносит ценность клиенту и обществу. Лидер, придерживающийся этого подхода, фокусируется на показателях, контроле выполнения задач и достижении поставленных целей. Для него важно — давать команде понятный смысл работы: мы создаём результат, который важен людям — нашим клиентам.
</t>
    </r>
    <r>
      <rPr>
        <b/>
        <sz val="11"/>
        <color theme="1"/>
        <rFont val="Calibri"/>
        <family val="2"/>
        <charset val="204"/>
      </rPr>
      <t xml:space="preserve">Сильные стороны:
</t>
    </r>
    <r>
      <rPr>
        <sz val="11"/>
        <color theme="1"/>
        <rFont val="Calibri"/>
        <family val="2"/>
        <charset val="204"/>
      </rPr>
      <t xml:space="preserve">- Ориентация на создание ценности для клиента и общества;
</t>
    </r>
    <r>
      <rPr>
        <sz val="11"/>
        <color theme="1"/>
        <rFont val="Calibri"/>
        <family val="2"/>
        <charset val="204"/>
      </rPr>
      <t xml:space="preserve">- Быстрые и качественные решения в условиях неопределённости;
</t>
    </r>
    <r>
      <rPr>
        <sz val="11"/>
        <color theme="1"/>
        <rFont val="Calibri"/>
        <family val="2"/>
        <charset val="204"/>
      </rPr>
      <t xml:space="preserve">- Умение удерживать фокус и выделять приоритеты
</t>
    </r>
    <r>
      <rPr>
        <sz val="11"/>
        <color theme="1"/>
        <rFont val="Calibri"/>
        <family val="2"/>
        <charset val="204"/>
      </rPr>
      <t xml:space="preserve">- Ясность целей и измеримый результат.
</t>
    </r>
    <r>
      <rPr>
        <b/>
        <sz val="11"/>
        <color theme="1"/>
        <rFont val="Calibri"/>
        <family val="2"/>
        <charset val="204"/>
      </rPr>
      <t xml:space="preserve">Как данный стиль влияет на человекоцентричную культуру в Компании:
</t>
    </r>
    <r>
      <rPr>
        <sz val="11"/>
        <color theme="1"/>
        <rFont val="Calibri"/>
        <family val="2"/>
        <charset val="204"/>
      </rPr>
      <t xml:space="preserve">Ваш ведущий стиль формирует культуру ответственности за результат и осмысленной работы «не ради цифры, а ради пользы». Лидер транслирует связь задач команды с ценностью для клиента и общества, показывая, что особенно важно давать ясные ориентиры, понятные показатели, четкие планы и всегда синхронизироваться с тем, как то, что делает команда, будет приносить пользу Компании и клиентам.
</t>
    </r>
    <r>
      <rPr>
        <b/>
        <sz val="11"/>
        <color theme="1"/>
        <rFont val="Calibri"/>
        <family val="2"/>
        <charset val="204"/>
      </rPr>
      <t xml:space="preserve">Ваш стиль человекоцентричности эффективен в ситуациях, если:
</t>
    </r>
    <r>
      <rPr>
        <sz val="11"/>
        <color theme="1"/>
        <rFont val="Calibri"/>
        <family val="2"/>
        <charset val="204"/>
      </rPr>
      <t xml:space="preserve">- нужно быстро принять решение и сфокусировать команду на приоритетах в условиях неопределённости;
</t>
    </r>
    <r>
      <rPr>
        <sz val="11"/>
        <color theme="1"/>
        <rFont val="Calibri"/>
        <family val="2"/>
        <charset val="204"/>
      </rPr>
      <t xml:space="preserve">- команде важно понять, как её работа создаёт ценность для клиента и общества, в том числе в долгосрочной перспективе;
</t>
    </r>
    <r>
      <rPr>
        <sz val="11"/>
        <color theme="1"/>
        <rFont val="Calibri"/>
        <family val="2"/>
        <charset val="204"/>
      </rPr>
      <t xml:space="preserve">- в команде много задач/проектов и нужна ясность целей, сроков и измеримого результата;
</t>
    </r>
    <r>
      <rPr>
        <sz val="11"/>
        <color theme="1"/>
        <rFont val="Calibri"/>
        <family val="2"/>
        <charset val="204"/>
      </rPr>
      <t xml:space="preserve">- возник риск нарушения сроков и нужно оперативно перераспределить нагрузку, сохраняя качество решений.
</t>
    </r>
    <r>
      <rPr>
        <b/>
        <sz val="11"/>
        <color theme="1"/>
        <rFont val="Calibri"/>
        <family val="2"/>
        <charset val="204"/>
      </rPr>
      <t xml:space="preserve">Ваш стиль человекоцентричности менее эффективен в ситуациях, если:
</t>
    </r>
    <r>
      <rPr>
        <sz val="11"/>
        <color theme="1"/>
        <rFont val="Calibri"/>
        <family val="2"/>
        <charset val="204"/>
      </rPr>
      <t xml:space="preserve">- нужно сфокусироваться на построении отношений и взаимопонимания внутри команды;
</t>
    </r>
    <r>
      <rPr>
        <sz val="11"/>
        <color theme="1"/>
        <rFont val="Calibri"/>
        <family val="2"/>
        <charset val="204"/>
      </rPr>
      <t xml:space="preserve">- требуется пересмотр и упрощение бизнес-процессов;
</t>
    </r>
    <r>
      <rPr>
        <sz val="11"/>
        <color theme="1"/>
        <rFont val="Calibri"/>
        <family val="2"/>
        <charset val="204"/>
      </rPr>
      <t>- команде необходимо выделить время и ресурс на индивидуальные траектории развития компетенций.</t>
    </r>
  </si>
  <si>
    <r>
      <rPr>
        <b/>
        <sz val="11"/>
        <color theme="1"/>
        <rFont val="Calibri"/>
        <family val="2"/>
        <charset val="204"/>
      </rPr>
      <t xml:space="preserve">Характеристика:
</t>
    </r>
    <r>
      <rPr>
        <sz val="11"/>
        <color theme="1"/>
        <rFont val="Calibri"/>
        <family val="2"/>
        <charset val="204"/>
      </rPr>
      <t xml:space="preserve">Данный стиль ориентирован на команду и культуру взаимодействия. Вектор в модели человекоцентричности- </t>
    </r>
    <r>
      <rPr>
        <b/>
        <sz val="11"/>
        <color theme="1"/>
        <rFont val="Calibri"/>
        <family val="2"/>
        <charset val="204"/>
      </rPr>
      <t>Культура</t>
    </r>
    <r>
      <rPr>
        <sz val="11"/>
        <color theme="1"/>
        <rFont val="Calibri"/>
        <family val="2"/>
        <charset val="204"/>
      </rPr>
      <t xml:space="preserve">. Приоритеты — доброжелательное общение, уважительная коммуникация, культура взаимопомощи, ролевая модель корпоративной культуры.
</t>
    </r>
    <r>
      <rPr>
        <sz val="11"/>
        <color theme="1"/>
        <rFont val="Calibri"/>
        <family val="2"/>
        <charset val="204"/>
      </rPr>
      <t xml:space="preserve">Командный лидер проявляет человекоцентричность через то, как команда общается и поддерживает друг друга: он демонстрирует уважительный диалог, тактичность и вежливость в общении, готовность помочь и быть опорой. Он — ролевая модель корпоративной культуры: показывает на своём примере, как принято общаться, договариваться и взаимодействовать в Компании.
</t>
    </r>
    <r>
      <rPr>
        <b/>
        <sz val="11"/>
        <color theme="1"/>
        <rFont val="Calibri"/>
        <family val="2"/>
        <charset val="204"/>
      </rPr>
      <t xml:space="preserve">Сильные стороны:
</t>
    </r>
    <r>
      <rPr>
        <sz val="11"/>
        <color theme="1"/>
        <rFont val="Calibri"/>
        <family val="2"/>
        <charset val="204"/>
      </rPr>
      <t xml:space="preserve">- Доброжелательная культура общения;
</t>
    </r>
    <r>
      <rPr>
        <sz val="11"/>
        <color theme="1"/>
        <rFont val="Calibri"/>
        <family val="2"/>
        <charset val="204"/>
      </rPr>
      <t xml:space="preserve">- Уважительная коммуникация и конструктивная обратная связь;
</t>
    </r>
    <r>
      <rPr>
        <sz val="11"/>
        <color theme="1"/>
        <rFont val="Calibri"/>
        <family val="2"/>
        <charset val="204"/>
      </rPr>
      <t xml:space="preserve">- Культура взаимопомощи и психологическая безопасность;
</t>
    </r>
    <r>
      <rPr>
        <sz val="11"/>
        <color theme="1"/>
        <rFont val="Calibri"/>
        <family val="2"/>
        <charset val="204"/>
      </rPr>
      <t xml:space="preserve">- Ролевая модель корпоративных ценностей в ежедневном поведении.
</t>
    </r>
    <r>
      <rPr>
        <b/>
        <sz val="11"/>
        <color theme="1"/>
        <rFont val="Calibri"/>
        <family val="2"/>
        <charset val="204"/>
      </rPr>
      <t xml:space="preserve">Как данный стиль влияет на человекоцентричную культуру в Компании:
</t>
    </r>
    <r>
      <rPr>
        <sz val="11"/>
        <color theme="1"/>
        <rFont val="Calibri"/>
        <family val="2"/>
        <charset val="204"/>
      </rPr>
      <t xml:space="preserve">Ваш ведущий стиль задаёт «тон общения» в команде и вокруг неё: люди чувствуют, что их слышат, к ним относятся с уважением, можно просить помощи. Лидер укрепляет человекоцентричность через живое воплощение культуры Компании — не декларации, а ежедневные взаимодействия.
</t>
    </r>
    <r>
      <rPr>
        <b/>
        <sz val="11"/>
        <color theme="1"/>
        <rFont val="Calibri"/>
        <family val="2"/>
        <charset val="204"/>
      </rPr>
      <t xml:space="preserve">Ваш стиль человекоцентричности эффективен в ситуациях, если:
</t>
    </r>
    <r>
      <rPr>
        <sz val="11"/>
        <color theme="1"/>
        <rFont val="Calibri"/>
        <family val="2"/>
        <charset val="204"/>
      </rPr>
      <t xml:space="preserve">- команде важен уважительный диалог, тактичность и взаимопомощь;
</t>
    </r>
    <r>
      <rPr>
        <sz val="11"/>
        <color theme="1"/>
        <rFont val="Calibri"/>
        <family val="2"/>
        <charset val="204"/>
      </rPr>
      <t xml:space="preserve">- важна роль медиатора и фасилитатора для достижения договоренностей;
</t>
    </r>
    <r>
      <rPr>
        <sz val="11"/>
        <color theme="1"/>
        <rFont val="Calibri"/>
        <family val="2"/>
        <charset val="204"/>
      </rPr>
      <t xml:space="preserve">- необходимо адаптировать новых сотрудников, обеспечить комфортную среду, поддержку и «опору».
</t>
    </r>
    <r>
      <rPr>
        <b/>
        <sz val="11"/>
        <color theme="1"/>
        <rFont val="Calibri"/>
        <family val="2"/>
        <charset val="204"/>
      </rPr>
      <t xml:space="preserve">Ваш стиль человекоцентричности менее эффективен в ситуациях, если:
</t>
    </r>
    <r>
      <rPr>
        <sz val="11"/>
        <color theme="1"/>
        <rFont val="Calibri"/>
        <family val="2"/>
        <charset val="204"/>
      </rPr>
      <t xml:space="preserve">- нужно быстро принять непопулярное решение;
</t>
    </r>
    <r>
      <rPr>
        <sz val="11"/>
        <color theme="1"/>
        <rFont val="Calibri"/>
        <family val="2"/>
        <charset val="204"/>
      </rPr>
      <t xml:space="preserve">- требуется достижение амбициозных результатов в короткие сроки, необходимо снять барьеры в процессах;
</t>
    </r>
    <r>
      <rPr>
        <sz val="11"/>
        <color theme="1"/>
        <rFont val="Calibri"/>
        <family val="2"/>
        <charset val="204"/>
      </rPr>
      <t xml:space="preserve">- команде важен профессиональный вызов или внедрение инноваций.
</t>
    </r>
  </si>
  <si>
    <r>
      <rPr>
        <b/>
        <sz val="11"/>
        <color theme="1"/>
        <rFont val="Calibri"/>
        <family val="2"/>
        <charset val="204"/>
      </rPr>
      <t xml:space="preserve">Характеристика:
</t>
    </r>
    <r>
      <rPr>
        <sz val="11"/>
        <color theme="1"/>
        <rFont val="Calibri"/>
        <family val="2"/>
        <charset val="204"/>
      </rPr>
      <t>Данный стиль ориентирован на развитие людей. Вектор в модели человекоцентричности-</t>
    </r>
    <r>
      <rPr>
        <b/>
        <sz val="11"/>
        <color theme="1"/>
        <rFont val="Calibri"/>
        <family val="2"/>
        <charset val="204"/>
      </rPr>
      <t>Лидер</t>
    </r>
    <r>
      <rPr>
        <sz val="11"/>
        <color theme="1"/>
        <rFont val="Calibri"/>
        <family val="2"/>
        <charset val="204"/>
      </rPr>
      <t xml:space="preserve">. Приоритеты — раскрытие потенциала, создание условий для роста, возможности для профессионального и личностного развития.
</t>
    </r>
    <r>
      <rPr>
        <sz val="11"/>
        <color theme="1"/>
        <rFont val="Calibri"/>
        <family val="2"/>
        <charset val="204"/>
      </rPr>
      <t xml:space="preserve">Вдохновляющий лидер проявляет человекоцентричность через развитие и мотивацию других: он видит потенциал сотрудников, создаёт условия для обучения и роста, даёт амбициозные задачи и поддерживает траекторию развития. 
</t>
    </r>
    <r>
      <rPr>
        <b/>
        <sz val="11"/>
        <color theme="1"/>
        <rFont val="Calibri"/>
        <family val="2"/>
        <charset val="204"/>
      </rPr>
      <t xml:space="preserve">Сильные стороны:
</t>
    </r>
    <r>
      <rPr>
        <sz val="11"/>
        <color theme="1"/>
        <rFont val="Calibri"/>
        <family val="2"/>
        <charset val="204"/>
      </rPr>
      <t xml:space="preserve">- Создание условий для раскрытия потенциала сотрудников;
</t>
    </r>
    <r>
      <rPr>
        <sz val="11"/>
        <color theme="1"/>
        <rFont val="Calibri"/>
        <family val="2"/>
        <charset val="204"/>
      </rPr>
      <t xml:space="preserve">- Возможности для роста и обучения;
</t>
    </r>
    <r>
      <rPr>
        <sz val="11"/>
        <color theme="1"/>
        <rFont val="Calibri"/>
        <family val="2"/>
        <charset val="204"/>
      </rPr>
      <t xml:space="preserve">- Мотивация через смысл и личный пример развития;
</t>
    </r>
    <r>
      <rPr>
        <sz val="11"/>
        <color theme="1"/>
        <rFont val="Calibri"/>
        <family val="2"/>
        <charset val="204"/>
      </rPr>
      <t xml:space="preserve">- Формирование амбициозного видения «кем мы можем стать».
</t>
    </r>
    <r>
      <rPr>
        <b/>
        <sz val="11"/>
        <color theme="1"/>
        <rFont val="Calibri"/>
        <family val="2"/>
        <charset val="204"/>
      </rPr>
      <t xml:space="preserve">Как данный стиль влияет на человекоцентричную культуру в Компании:
</t>
    </r>
    <r>
      <rPr>
        <sz val="11"/>
        <color theme="1"/>
        <rFont val="Calibri"/>
        <family val="2"/>
        <charset val="204"/>
      </rPr>
      <t xml:space="preserve">Ваш ведущий стиль укрепляет культуру непрерывного развития и веры в потенциал людей. Лидер показывает, что Компания инвестирует в человека: даёт задачи для роста, обратную связь, наставничество. Вдохновляющий стиль наполняет работу команды пониманием своих возможностей для профессионального и карьерного роста.
</t>
    </r>
    <r>
      <rPr>
        <b/>
        <sz val="11"/>
        <color theme="1"/>
        <rFont val="Calibri"/>
        <family val="2"/>
        <charset val="204"/>
      </rPr>
      <t xml:space="preserve">Ваш стиль человекоцентричности эффективен в ситуациях, если:
</t>
    </r>
    <r>
      <rPr>
        <sz val="11"/>
        <color theme="1"/>
        <rFont val="Calibri"/>
        <family val="2"/>
        <charset val="204"/>
      </rPr>
      <t xml:space="preserve">- сотрудникам нужны задачи для роста, обратная связь и условия для раскрытия потенциала;
</t>
    </r>
    <r>
      <rPr>
        <sz val="11"/>
        <color theme="1"/>
        <rFont val="Calibri"/>
        <family val="2"/>
        <charset val="204"/>
      </rPr>
      <t xml:space="preserve">- важен личный пример лидера и амбициозное видение;
</t>
    </r>
    <r>
      <rPr>
        <sz val="11"/>
        <color theme="1"/>
        <rFont val="Calibri"/>
        <family val="2"/>
        <charset val="204"/>
      </rPr>
      <t xml:space="preserve">- формируется новая команда и нужно заложить культуру наставничества и развития;
</t>
    </r>
    <r>
      <rPr>
        <sz val="11"/>
        <color theme="1"/>
        <rFont val="Calibri"/>
        <family val="2"/>
        <charset val="204"/>
      </rPr>
      <t xml:space="preserve">- необходимо создать пространство для обучения, освоения новых компетенций для профессионального/карьерного роста.
</t>
    </r>
    <r>
      <rPr>
        <b/>
        <sz val="11"/>
        <color theme="1"/>
        <rFont val="Calibri"/>
        <family val="2"/>
        <charset val="204"/>
      </rPr>
      <t xml:space="preserve">Ваш стиль человекоцентричности менее эффективен в ситуациях, если:
</t>
    </r>
    <r>
      <rPr>
        <sz val="11"/>
        <color theme="1"/>
        <rFont val="Calibri"/>
        <family val="2"/>
        <charset val="204"/>
      </rPr>
      <t xml:space="preserve">- жёсткие сроки и есть необходимость чёткого операционного контроля;
</t>
    </r>
    <r>
      <rPr>
        <sz val="11"/>
        <color theme="1"/>
        <rFont val="Calibri"/>
        <family val="2"/>
        <charset val="204"/>
      </rPr>
      <t xml:space="preserve">- нужны прозрачные договорённости, роли и предсказуемость бизнес-процессов;
</t>
    </r>
    <r>
      <rPr>
        <sz val="11"/>
        <color theme="1"/>
        <rFont val="Calibri"/>
        <family val="2"/>
        <charset val="204"/>
      </rPr>
      <t xml:space="preserve">- нужны системные правила и фокус на оптимизацию процессов.
</t>
    </r>
  </si>
  <si>
    <r>
      <rPr>
        <b/>
        <sz val="11"/>
        <color theme="1"/>
        <rFont val="Calibri"/>
        <family val="2"/>
        <charset val="204"/>
      </rPr>
      <t xml:space="preserve">Характеристика:
</t>
    </r>
    <r>
      <rPr>
        <sz val="11"/>
        <color theme="1"/>
        <rFont val="Calibri"/>
        <family val="2"/>
        <charset val="204"/>
      </rPr>
      <t xml:space="preserve">Данный стиль ориентирован на организацию работы. Вектор в модели человекоцентричности- </t>
    </r>
    <r>
      <rPr>
        <b/>
        <sz val="11"/>
        <color theme="1"/>
        <rFont val="Calibri"/>
        <family val="2"/>
        <charset val="204"/>
      </rPr>
      <t>Процессы и практики</t>
    </r>
    <r>
      <rPr>
        <sz val="11"/>
        <color theme="1"/>
        <rFont val="Calibri"/>
        <family val="2"/>
        <charset val="204"/>
      </rPr>
      <t xml:space="preserve">. Приоритеты — прозрачность, понятные договорённости, устранение барьеров, предсказуемость.
</t>
    </r>
    <r>
      <rPr>
        <sz val="11"/>
        <color theme="1"/>
        <rFont val="Calibri"/>
        <family val="2"/>
        <charset val="204"/>
      </rPr>
      <t xml:space="preserve">Процессный лидер проявляет человекоцентричность через удобную и понятную среду работы: он выстраивает  правила взаимодействия, убирает лишние препятствия и создаёт условия, в которых сотрудник может сосредоточиться на задаче. Основная цель — обеспечить максимальную эффективность через отлаженный и структурированный подход, делая акцент на том, чтобы процессы помогали людям, а не мешали им.
</t>
    </r>
    <r>
      <rPr>
        <b/>
        <sz val="11"/>
        <color theme="1"/>
        <rFont val="Calibri"/>
        <family val="2"/>
        <charset val="204"/>
      </rPr>
      <t xml:space="preserve">Сильные стороны:
</t>
    </r>
    <r>
      <rPr>
        <sz val="11"/>
        <color theme="1"/>
        <rFont val="Calibri"/>
        <family val="2"/>
        <charset val="204"/>
      </rPr>
      <t xml:space="preserve">- Прозрачность и предсказуемость работы;
</t>
    </r>
    <r>
      <rPr>
        <sz val="11"/>
        <color theme="1"/>
        <rFont val="Calibri"/>
        <family val="2"/>
        <charset val="204"/>
      </rPr>
      <t xml:space="preserve">- Устранение организационных барьеров;
</t>
    </r>
    <r>
      <rPr>
        <sz val="11"/>
        <color theme="1"/>
        <rFont val="Calibri"/>
        <family val="2"/>
        <charset val="204"/>
      </rPr>
      <t xml:space="preserve">- Оптимизация взаимодействий между людьми и подразделениями;
</t>
    </r>
    <r>
      <rPr>
        <sz val="11"/>
        <color theme="1"/>
        <rFont val="Calibri"/>
        <family val="2"/>
        <charset val="204"/>
      </rPr>
      <t xml:space="preserve">- Снижение неопределённости «как договориться и что делать».
</t>
    </r>
    <r>
      <rPr>
        <b/>
        <sz val="11"/>
        <color theme="1"/>
        <rFont val="Calibri"/>
        <family val="2"/>
        <charset val="204"/>
      </rPr>
      <t xml:space="preserve">Как данный стиль  влияет на человекоцентричную культуру в Компании:
</t>
    </r>
    <r>
      <rPr>
        <sz val="11"/>
        <color theme="1"/>
        <rFont val="Calibri"/>
        <family val="2"/>
        <charset val="204"/>
      </rPr>
      <t xml:space="preserve">Ваш ведущий стиль формирует культуру уважения к времени и усилиям людей: меньше хаоса, больше ясности. Лидер показывает, что человекоцентричность — это не бюрократия, а продуманная и организованная среда, где каждый понимает свою роль и может эффективно работать.
</t>
    </r>
    <r>
      <rPr>
        <b/>
        <sz val="11"/>
        <color theme="1"/>
        <rFont val="Calibri"/>
        <family val="2"/>
        <charset val="204"/>
      </rPr>
      <t xml:space="preserve">Ваш стиль человекоцентричности эффективен в ситуациях, если:
</t>
    </r>
    <r>
      <rPr>
        <sz val="11"/>
        <color theme="1"/>
        <rFont val="Calibri"/>
        <family val="2"/>
        <charset val="204"/>
      </rPr>
      <t xml:space="preserve">- команде нужны прозрачность и предсказуемость работы;
</t>
    </r>
    <r>
      <rPr>
        <sz val="11"/>
        <color theme="1"/>
        <rFont val="Calibri"/>
        <family val="2"/>
        <charset val="204"/>
      </rPr>
      <t xml:space="preserve">- масштабируется типовая работа и важен понятный, воспроизводимый способ действий;
</t>
    </r>
    <r>
      <rPr>
        <sz val="11"/>
        <color theme="1"/>
        <rFont val="Calibri"/>
        <family val="2"/>
        <charset val="204"/>
      </rPr>
      <t xml:space="preserve">- необходимо упрощение процессов и четкость ролей и зон ответственности.
</t>
    </r>
    <r>
      <rPr>
        <b/>
        <sz val="11"/>
        <color theme="1"/>
        <rFont val="Calibri"/>
        <family val="2"/>
        <charset val="204"/>
      </rPr>
      <t xml:space="preserve">Ваш стиль человекоцентричности менее эффективен в ситуациях, если:
</t>
    </r>
    <r>
      <rPr>
        <sz val="11"/>
        <color theme="1"/>
        <rFont val="Calibri"/>
        <family val="2"/>
        <charset val="204"/>
      </rPr>
      <t xml:space="preserve">- требуется фокус на инновации и эксперименты;
</t>
    </r>
    <r>
      <rPr>
        <sz val="11"/>
        <color theme="1"/>
        <rFont val="Calibri"/>
        <family val="2"/>
        <charset val="204"/>
      </rPr>
      <t xml:space="preserve">- нужно сосредоточиться на построении доверительной атмосферы и взаимопонимания между сотрудниками;
</t>
    </r>
    <r>
      <rPr>
        <sz val="11"/>
        <color theme="1"/>
        <rFont val="Calibri"/>
        <family val="2"/>
        <charset val="204"/>
      </rPr>
      <t xml:space="preserve">- команде не хватает мотивации и индивидуального подхода к развитию.
</t>
    </r>
  </si>
  <si>
    <t>Как мне повывить человекоцентричность в моей команде</t>
  </si>
  <si>
    <t>Рекомендации по развитию стиля "Процессный"</t>
  </si>
  <si>
    <t>Рекомендации по развитию, если ведущий стиль "Целеустременный"</t>
  </si>
  <si>
    <t>Рекомендации по развитию стиля "Командный"</t>
  </si>
  <si>
    <t>Рекомендации по развитию стиля "Вдохновляющий"</t>
  </si>
  <si>
    <t>для системы, не выводим для пользователя</t>
  </si>
  <si>
    <r>
      <rPr>
        <sz val="11"/>
        <color theme="1"/>
        <rFont val="Calibri"/>
        <family val="2"/>
        <charset val="204"/>
      </rPr>
      <t xml:space="preserve">Предлагаем вам расширить набор инструментов лидера: сохранить фокус на команде и взаимоотношениях, но усилить управляемость через ясные роли, измеримые договоренности и контроль прогресса. Для этого:
</t>
    </r>
    <r>
      <rPr>
        <b/>
        <sz val="11"/>
        <color theme="1"/>
        <rFont val="Calibri"/>
        <family val="2"/>
        <charset val="204"/>
      </rPr>
      <t xml:space="preserve">1. Узнайте больше о своей команде:
</t>
    </r>
    <r>
      <rPr>
        <sz val="11"/>
        <color theme="1"/>
        <rFont val="Calibri"/>
        <family val="2"/>
        <charset val="204"/>
      </rPr>
      <t xml:space="preserve">• Спросите, понимает ли команда, какую ценность для клиента и общества создаёт их работа 
</t>
    </r>
    <r>
      <rPr>
        <sz val="11"/>
        <color theme="1"/>
        <rFont val="Calibri"/>
        <family val="2"/>
        <charset val="204"/>
      </rPr>
      <t xml:space="preserve">• Проверьте, зафиксированы ли договорённости о ролях, сроках и ответственности 
</t>
    </r>
    <r>
      <rPr>
        <sz val="11"/>
        <color theme="1"/>
        <rFont val="Calibri"/>
        <family val="2"/>
        <charset val="204"/>
      </rPr>
      <t xml:space="preserve">• Уточните, прозрачны и ясны ли для команды цели и процессы
</t>
    </r>
    <r>
      <rPr>
        <b/>
        <sz val="11"/>
        <color theme="1"/>
        <rFont val="Calibri"/>
        <family val="2"/>
        <charset val="204"/>
      </rPr>
      <t xml:space="preserve">2. Внедряйте в практику и делайте чаще:
</t>
    </r>
    <r>
      <rPr>
        <sz val="11"/>
        <color theme="1"/>
        <rFont val="Calibri"/>
        <family val="2"/>
        <charset val="204"/>
      </rPr>
      <t xml:space="preserve">• Продолжайте совершенствовать командные правила взаимодействия, например, о том, как даём обратную связь, как спорим, как просим помощи.
</t>
    </r>
    <r>
      <rPr>
        <sz val="11"/>
        <color theme="1"/>
        <rFont val="Calibri"/>
        <family val="2"/>
        <charset val="204"/>
      </rPr>
      <t xml:space="preserve">• На встречах больше обсуждайте, «какую ценность для клиента мы создаём».
</t>
    </r>
    <r>
      <rPr>
        <sz val="11"/>
        <color theme="1"/>
        <rFont val="Calibri"/>
        <family val="2"/>
        <charset val="204"/>
      </rPr>
      <t xml:space="preserve">• Фиксируйте решения письменно: кто, что, к какому сроку выполняет.
</t>
    </r>
    <r>
      <rPr>
        <sz val="11"/>
        <color theme="1"/>
        <rFont val="Calibri"/>
        <family val="2"/>
        <charset val="204"/>
      </rPr>
      <t xml:space="preserve">• В сложных ситуациях практикуйте не только уважительный, но и прямой разговор.
</t>
    </r>
    <r>
      <rPr>
        <sz val="11"/>
        <color theme="1"/>
        <rFont val="Calibri"/>
        <family val="2"/>
        <charset val="204"/>
      </rPr>
      <t xml:space="preserve">• Обозначайте личную ответственность сотрудников
</t>
    </r>
    <r>
      <rPr>
        <b/>
        <sz val="11"/>
        <color theme="1"/>
        <rFont val="Calibri"/>
        <family val="2"/>
        <charset val="204"/>
      </rPr>
      <t xml:space="preserve">3. Скорректируйте/ Закрепите изменения и дополните свой стиль:
</t>
    </r>
    <r>
      <rPr>
        <sz val="11"/>
        <color theme="1"/>
        <rFont val="Calibri"/>
        <family val="2"/>
        <charset val="204"/>
      </rPr>
      <t xml:space="preserve">• Закрепите норму: «Мы уважительны — и мы доводим до результата».
</t>
    </r>
    <r>
      <rPr>
        <sz val="11"/>
        <color theme="1"/>
        <rFont val="Calibri"/>
        <family val="2"/>
        <charset val="204"/>
      </rPr>
      <t xml:space="preserve">• Всегда сверяйтесь: создали ли ценность для клиента и общества.
</t>
    </r>
    <r>
      <rPr>
        <sz val="11"/>
        <color theme="1"/>
        <rFont val="Calibri"/>
        <family val="2"/>
        <charset val="204"/>
      </rPr>
      <t xml:space="preserve">• Упростите лишние согласования.
</t>
    </r>
    <r>
      <rPr>
        <sz val="11"/>
        <color theme="1"/>
        <rFont val="Calibri"/>
        <family val="2"/>
        <charset val="204"/>
      </rPr>
      <t>• Введите в свою практику содействие сотрудникам в выборе вектора развития и формировании траектории развития.</t>
    </r>
  </si>
  <si>
    <r>
      <rPr>
        <sz val="11"/>
        <color theme="1"/>
        <rFont val="Calibri"/>
        <family val="2"/>
        <charset val="204"/>
      </rPr>
      <t xml:space="preserve">Предлагаем вам расширить набор инструментов лидера: сохранить фокус на драйве и энергии лидера, его стремлении развивать команду, но усилить управляемость через цели, контрольные точки и ясные бизнес-механизмы, а также фокус на создании команды как единого целого для более долгосрочного сотрудничества. Для этого:
</t>
    </r>
    <r>
      <rPr>
        <b/>
        <sz val="11"/>
        <color theme="1"/>
        <rFont val="Calibri"/>
        <family val="2"/>
        <charset val="204"/>
      </rPr>
      <t xml:space="preserve">Узнайте больше о своей команде:
</t>
    </r>
    <r>
      <rPr>
        <sz val="11"/>
        <color theme="1"/>
        <rFont val="Calibri"/>
        <family val="2"/>
        <charset val="204"/>
      </rPr>
      <t xml:space="preserve">• Составьте карту потенциала: кому нужен вызов, кому — поддержка, кому — структура, кому — больше времени на обучение.
</t>
    </r>
    <r>
      <rPr>
        <sz val="11"/>
        <color theme="1"/>
        <rFont val="Calibri"/>
        <family val="2"/>
        <charset val="204"/>
      </rPr>
      <t xml:space="preserve">• Уточните, видят ли сотрудники связь между их ростом и ценностью для клиента и общества.
</t>
    </r>
    <r>
      <rPr>
        <sz val="11"/>
        <color theme="1"/>
        <rFont val="Calibri"/>
        <family val="2"/>
        <charset val="204"/>
      </rPr>
      <t xml:space="preserve">• Проверьте, есть ли понятные договорённости о целях, сроках и критериях успеха.
</t>
    </r>
    <r>
      <rPr>
        <sz val="11"/>
        <color theme="1"/>
        <rFont val="Calibri"/>
        <family val="2"/>
        <charset val="204"/>
      </rPr>
      <t xml:space="preserve">• Спросите, достаточно ли текущего уровня общения в команде — норма, которую вы поддерживаете, комфортно ли сотрудникам работать в команде.
</t>
    </r>
    <r>
      <rPr>
        <b/>
        <sz val="11"/>
        <color theme="1"/>
        <rFont val="Calibri"/>
        <family val="2"/>
        <charset val="204"/>
      </rPr>
      <t xml:space="preserve">Внедряйте в практику и делайте чаще:
</t>
    </r>
    <r>
      <rPr>
        <sz val="11"/>
        <color theme="1"/>
        <rFont val="Calibri"/>
        <family val="2"/>
        <charset val="204"/>
      </rPr>
      <t xml:space="preserve">• Обсудите с сотрудниками их индивидуальные траектории развития: в чем их сильные стороны, а какие навыки можно усилить.
</t>
    </r>
    <r>
      <rPr>
        <sz val="11"/>
        <color theme="1"/>
        <rFont val="Calibri"/>
        <family val="2"/>
        <charset val="204"/>
      </rPr>
      <t xml:space="preserve">• Связывайте задачи на рост с реальной пользой для клиента и общества.
</t>
    </r>
    <r>
      <rPr>
        <sz val="11"/>
        <color theme="1"/>
        <rFont val="Calibri"/>
        <family val="2"/>
        <charset val="204"/>
      </rPr>
      <t xml:space="preserve">• Фиксируйте контрольные точки и критерии успеха по проектам.
</t>
    </r>
    <r>
      <rPr>
        <sz val="11"/>
        <color theme="1"/>
        <rFont val="Calibri"/>
        <family val="2"/>
        <charset val="204"/>
      </rPr>
      <t xml:space="preserve">• Делегируйте полномочия, а не только задачи.
</t>
    </r>
    <r>
      <rPr>
        <sz val="11"/>
        <color theme="1"/>
        <rFont val="Calibri"/>
        <family val="2"/>
        <charset val="204"/>
      </rPr>
      <t xml:space="preserve">• Проводите регулярную обратную связь о прогрессе развития.
</t>
    </r>
    <r>
      <rPr>
        <b/>
        <sz val="11"/>
        <color theme="1"/>
        <rFont val="Calibri"/>
        <family val="2"/>
        <charset val="204"/>
      </rPr>
      <t xml:space="preserve">Закрепите изменения и дополните свой стиль:
</t>
    </r>
    <r>
      <rPr>
        <sz val="11"/>
        <color theme="1"/>
        <rFont val="Calibri"/>
        <family val="2"/>
        <charset val="204"/>
      </rPr>
      <t xml:space="preserve">• Закрепите правило: «Развитие = задача + поддержка + измеримый результат».
</t>
    </r>
    <r>
      <rPr>
        <sz val="11"/>
        <color theme="1"/>
        <rFont val="Calibri"/>
        <family val="2"/>
        <charset val="204"/>
      </rPr>
      <t xml:space="preserve">• Раз в квартал обсуждайте: как наш рост влияет на клиента и общество.
</t>
    </r>
    <r>
      <rPr>
        <sz val="11"/>
        <color theme="1"/>
        <rFont val="Calibri"/>
        <family val="2"/>
        <charset val="204"/>
      </rPr>
      <t xml:space="preserve">• Упростите правила взаимодействия там, где неясность мешает людям расти.
</t>
    </r>
    <r>
      <rPr>
        <sz val="11"/>
        <color theme="1"/>
        <rFont val="Calibri"/>
        <family val="2"/>
        <charset val="204"/>
      </rPr>
      <t xml:space="preserve">• Поддерживайте уважительный и доброжелательный тон общения в команде.
</t>
    </r>
  </si>
  <si>
    <r>
      <rPr>
        <sz val="11"/>
        <color theme="1"/>
        <rFont val="Calibri"/>
        <family val="2"/>
        <charset val="204"/>
      </rPr>
      <t xml:space="preserve">Предлагаем вам расширить набор инструментов лидера : оставить фокус на создании ценности для клиента и Общества, но укрепить команду через понимание людей, их мотивации, раскрытия потенциала, усиление эффективности процессов. Для этого:
</t>
    </r>
    <r>
      <rPr>
        <b/>
        <sz val="11"/>
        <color theme="1"/>
        <rFont val="Calibri"/>
        <family val="2"/>
        <charset val="204"/>
      </rPr>
      <t xml:space="preserve">Узнайте больше о своей команде:
</t>
    </r>
    <r>
      <rPr>
        <sz val="11"/>
        <color theme="1"/>
        <rFont val="Calibri"/>
        <family val="2"/>
        <charset val="204"/>
      </rPr>
      <t xml:space="preserve">• Проведите индивидуальные беседы: понимает ли каждый сотрудник, как его работа влияет на клиента и общество, или видит только внутренние показатели.
</t>
    </r>
    <r>
      <rPr>
        <sz val="11"/>
        <color theme="1"/>
        <rFont val="Calibri"/>
        <family val="2"/>
        <charset val="204"/>
      </rPr>
      <t xml:space="preserve">• Спросите, где темп решений и многозадачность помогают, а где создают перегруз и снижают качество.
</t>
    </r>
    <r>
      <rPr>
        <sz val="11"/>
        <color theme="1"/>
        <rFont val="Calibri"/>
        <family val="2"/>
        <charset val="204"/>
      </rPr>
      <t xml:space="preserve">• Соберите обратную связь: достаточно ли в команде уважительного общения и взаимопомощи, а также условий для роста.
</t>
    </r>
    <r>
      <rPr>
        <sz val="11"/>
        <color theme="1"/>
        <rFont val="Calibri"/>
        <family val="2"/>
        <charset val="204"/>
      </rPr>
      <t xml:space="preserve">• Проанализируйте, где "размымость" ролей и лишние барьеры мешают людям достигать результата.
</t>
    </r>
    <r>
      <rPr>
        <b/>
        <sz val="11"/>
        <color theme="1"/>
        <rFont val="Calibri"/>
        <family val="2"/>
        <charset val="204"/>
      </rPr>
      <t xml:space="preserve">Внедряйте в практику и делайте чаще:
</t>
    </r>
    <r>
      <rPr>
        <sz val="11"/>
        <color theme="1"/>
        <rFont val="Calibri"/>
        <family val="2"/>
        <charset val="204"/>
      </rPr>
      <t xml:space="preserve">• В начале задач формулируйте связку: «Для кого мы это делаем: клиент, общество, команда» — не только KPI.
</t>
    </r>
    <r>
      <rPr>
        <sz val="11"/>
        <color theme="1"/>
        <rFont val="Calibri"/>
        <family val="2"/>
        <charset val="204"/>
      </rPr>
      <t xml:space="preserve">• На командных встречах совмещайте приоритеты и решения с тем, как команда помогает друг другу.
</t>
    </r>
    <r>
      <rPr>
        <sz val="11"/>
        <color theme="1"/>
        <rFont val="Calibri"/>
        <family val="2"/>
        <charset val="204"/>
      </rPr>
      <t xml:space="preserve">• Давайте сотрудникам задачи на развитие и обратную связь о росте, а не только о цифрах.
</t>
    </r>
    <r>
      <rPr>
        <sz val="11"/>
        <color theme="1"/>
        <rFont val="Calibri"/>
        <family val="2"/>
        <charset val="204"/>
      </rPr>
      <t xml:space="preserve">• Упрощайте согласования и убирайте лишние шаги на пути к результату.
</t>
    </r>
    <r>
      <rPr>
        <sz val="11"/>
        <color theme="1"/>
        <rFont val="Calibri"/>
        <family val="2"/>
        <charset val="204"/>
      </rPr>
      <t xml:space="preserve">• Признавайте личный вклад сотрудников в ценность для клиента, а не только выполнение плана.
</t>
    </r>
    <r>
      <rPr>
        <b/>
        <sz val="11"/>
        <color theme="1"/>
        <rFont val="Calibri"/>
        <family val="2"/>
        <charset val="204"/>
      </rPr>
      <t xml:space="preserve">Закрепите изменения и дополните свой стиль:
</t>
    </r>
    <r>
      <rPr>
        <sz val="11"/>
        <color theme="1"/>
        <rFont val="Calibri"/>
        <family val="2"/>
        <charset val="204"/>
      </rPr>
      <t xml:space="preserve">• Развивайте культуру уважительной обратной связи — результат не отменяет важность отношений.
</t>
    </r>
    <r>
      <rPr>
        <sz val="11"/>
        <color theme="1"/>
        <rFont val="Calibri"/>
        <family val="2"/>
        <charset val="204"/>
      </rPr>
      <t xml:space="preserve">• Обсудите вместе с сотрудниками их индивидуальные траектории развития компетенций: в чем их сильные стороны, а какие навыки можно усилить.
</t>
    </r>
    <r>
      <rPr>
        <sz val="11"/>
        <color theme="1"/>
        <rFont val="Calibri"/>
        <family val="2"/>
        <charset val="204"/>
      </rPr>
      <t>• Регулярно пересматривайте «узкие места» процессов, которые мешают людям работать эффективно.</t>
    </r>
  </si>
  <si>
    <r>
      <rPr>
        <sz val="11"/>
        <color theme="1"/>
        <rFont val="Calibri"/>
        <family val="2"/>
        <charset val="204"/>
      </rPr>
      <t xml:space="preserve">Предлагаем вам расширить набор инструментов лидера: сохранить фокус на процессах и эффективности, но усилить управляемость через создание доброжелательной и уважительной среды в команде, мотивацию, делегирование и развитие людей. Для этого:
</t>
    </r>
    <r>
      <rPr>
        <b/>
        <sz val="11"/>
        <color theme="1"/>
        <rFont val="Calibri"/>
        <family val="2"/>
        <charset val="204"/>
      </rPr>
      <t xml:space="preserve">1. Узнайте больше о своей команде:
</t>
    </r>
    <r>
      <rPr>
        <sz val="11"/>
        <color theme="1"/>
        <rFont val="Calibri"/>
        <family val="2"/>
        <charset val="204"/>
      </rPr>
      <t xml:space="preserve">• Соберите обратную связь, где процессы реально помогают, а где создают «трение».
</t>
    </r>
    <r>
      <rPr>
        <sz val="11"/>
        <color theme="1"/>
        <rFont val="Calibri"/>
        <family val="2"/>
        <charset val="204"/>
      </rPr>
      <t xml:space="preserve">• Выясните, видит ли команда связь работы с ценностью для клиента и общества.
</t>
    </r>
    <r>
      <rPr>
        <sz val="11"/>
        <color theme="1"/>
        <rFont val="Calibri"/>
        <family val="2"/>
        <charset val="204"/>
      </rPr>
      <t xml:space="preserve">• Оцените, достаточно ли уважительного общения и взаимопомощи.
</t>
    </r>
    <r>
      <rPr>
        <sz val="11"/>
        <color theme="1"/>
        <rFont val="Calibri"/>
        <family val="2"/>
        <charset val="204"/>
      </rPr>
      <t xml:space="preserve">• Узнайте, известны ли сотрудникам их возможности для роста, раскрывают ли они свой потенциал.
</t>
    </r>
    <r>
      <rPr>
        <b/>
        <sz val="11"/>
        <color theme="1"/>
        <rFont val="Calibri"/>
        <family val="2"/>
        <charset val="204"/>
      </rPr>
      <t xml:space="preserve">2. Внедряйте в практику и делайте чаще:
</t>
    </r>
    <r>
      <rPr>
        <sz val="11"/>
        <color theme="1"/>
        <rFont val="Calibri"/>
        <family val="2"/>
        <charset val="204"/>
      </rPr>
      <t xml:space="preserve">• Пересматривайте процессы: «Минимум правил — максимум ясности».
</t>
    </r>
    <r>
      <rPr>
        <sz val="11"/>
        <color theme="1"/>
        <rFont val="Calibri"/>
        <family val="2"/>
        <charset val="204"/>
      </rPr>
      <t xml:space="preserve">• При описании задач добавляйте, зачем это клиенту и обществу.
</t>
    </r>
    <r>
      <rPr>
        <sz val="11"/>
        <color theme="1"/>
        <rFont val="Calibri"/>
        <family val="2"/>
        <charset val="204"/>
      </rPr>
      <t xml:space="preserve">• Вовлекайте команду в совместное упрощение процессов.
</t>
    </r>
    <r>
      <rPr>
        <sz val="11"/>
        <color theme="1"/>
        <rFont val="Calibri"/>
        <family val="2"/>
        <charset val="204"/>
      </rPr>
      <t xml:space="preserve">• Поддерживайте уважительное общение в команде.
</t>
    </r>
    <r>
      <rPr>
        <sz val="11"/>
        <color theme="1"/>
        <rFont val="Calibri"/>
        <family val="2"/>
        <charset val="204"/>
      </rPr>
      <t xml:space="preserve">• Давайте задачи на развитие сотрудников, помогайте им усиливать свои компетенции.
</t>
    </r>
    <r>
      <rPr>
        <sz val="11"/>
        <color theme="1"/>
        <rFont val="Calibri"/>
        <family val="2"/>
        <charset val="204"/>
      </rPr>
      <t xml:space="preserve">• В нестандартных ситуациях используйте пилоты и эксперименты.
</t>
    </r>
    <r>
      <rPr>
        <b/>
        <sz val="11"/>
        <color theme="1"/>
        <rFont val="Calibri"/>
        <family val="2"/>
        <charset val="204"/>
      </rPr>
      <t xml:space="preserve">3. Скорректируйте/ Закрепите изменения и дополните свой стиль:
</t>
    </r>
    <r>
      <rPr>
        <sz val="11"/>
        <color theme="1"/>
        <rFont val="Calibri"/>
        <family val="2"/>
        <charset val="204"/>
      </rPr>
      <t xml:space="preserve">• Закрепите правило: «Процесс служит человеку — не наоборот».
</t>
    </r>
    <r>
      <rPr>
        <sz val="11"/>
        <color theme="1"/>
        <rFont val="Calibri"/>
        <family val="2"/>
        <charset val="204"/>
      </rPr>
      <t xml:space="preserve">• Развивайте культуру, в которой сотрудник не боится допускать ошибки.
</t>
    </r>
    <r>
      <rPr>
        <sz val="11"/>
        <color theme="1"/>
        <rFont val="Calibri"/>
        <family val="2"/>
        <charset val="204"/>
      </rPr>
      <t xml:space="preserve">• Связывайте изменения процессов с ценностью для клиента.
</t>
    </r>
    <r>
      <rPr>
        <sz val="11"/>
        <color theme="1"/>
        <rFont val="Calibri"/>
        <family val="2"/>
        <charset val="204"/>
      </rPr>
      <t xml:space="preserve">• Развивайте взаимопомощь и поддержку в команде.
</t>
    </r>
    <r>
      <rPr>
        <sz val="11"/>
        <color theme="1"/>
        <rFont val="Calibri"/>
        <family val="2"/>
        <charset val="204"/>
      </rPr>
      <t xml:space="preserve">• Поддерживайте индивидуальное развитие компетенций.
</t>
    </r>
  </si>
  <si>
    <t>дополнить для усиления, чтобы из характеристик других стилей были рекомендации
Коллеги, может быть 1-2 практикума еще рекомендуем на каждый стиль?</t>
  </si>
  <si>
    <t>Отчет по тесту «Определение ведущего стиля человекоцентричного лидерства»</t>
  </si>
  <si>
    <t>🤝 Командный</t>
  </si>
  <si>
    <t>Блок 4. Рекомендации по развитию вашего ведущего стиля</t>
  </si>
  <si>
    <t>⚙️ Процессный</t>
  </si>
  <si>
    <t>Стиль</t>
  </si>
  <si>
    <t>Баллы</t>
  </si>
  <si>
    <t>Блок 1. Описание об отчёте и об инструменте</t>
  </si>
  <si>
    <t>Блок 2. Ваши результаты</t>
  </si>
  <si>
    <t>Блок 3. Познакомьтесь с другими стилями человекоцентричного лидерства</t>
  </si>
  <si>
    <t>Краткие характеристики ниже. Полное описание раскрывается кнопкой + слева от сгруппированных строк.</t>
  </si>
  <si>
    <t>🎯 Целеустремленный</t>
  </si>
  <si>
    <t>✨ Вдохновляющий</t>
  </si>
  <si>
    <t>▼ Подробнее</t>
  </si>
  <si>
    <t>Отчёт по тесту «Определение ведущего стиля человекоцентричного лидерства»</t>
  </si>
  <si>
    <t>Как мне повысить человекоцентричность в моей команде?</t>
  </si>
  <si>
    <t>Об отчёте</t>
  </si>
  <si>
    <t>Ваши результаты</t>
  </si>
  <si>
    <t>Ознакомьтесь с описанием других стилей</t>
  </si>
  <si>
    <t>Ниже — характеристики трёх стилей, отличных от вашего ведущего. Нажмите ссылку «Полное описание стиля» — откроется лист с характеристиками.</t>
  </si>
  <si>
    <t>баллов</t>
  </si>
  <si>
    <t>Описание вашего ведущего стиля</t>
  </si>
  <si>
    <t>надо секторную диаграмму, он не делает в эксель, сделаем в другом формате</t>
  </si>
  <si>
    <t>1. Блок 1: Источник ценности (Вклад)</t>
  </si>
  <si>
    <t>Задача: Понять стиль «стыковки» с другими. Как вы встраиваетесь в текущую структуру?</t>
  </si>
  <si>
    <t>Задача: Описать ваши механизмы достижения целей.</t>
  </si>
  <si>
    <t>Смысл: Белбин утверждал, что у каждого специалиста есть «допустимые слабости». Этот блок показывает: чем вы готовы пожертвовать, чтобы ваша главная роль проявилась? Например, если вы гениальный «Мыслитель», вы можете быть рассеянным. Без признания этой слабости команда не сможет вас «подстраховать».</t>
  </si>
  <si>
    <t>3. Блок 3: Интеграция (Взаимодействие с коллегами)</t>
  </si>
  <si>
    <t>6. Блок 6: Отношение к другим (Реакция на вклад партнеров)</t>
  </si>
  <si>
    <t>Смысл: Работа команды – это всегда трение. Этот блок показывает, являетесь ли вы тем, кто сглаживает углы, или тем, кто эти углы создает для прогресса. Это про стиль коммуникации «здесь и сейчас».</t>
  </si>
  <si>
    <t>Смысл: Это «operational mode». Когда проект запущен, как вы лично его ведете? Вы следуете методологии? Ищете креативные обходные пути? Или просто давите авторитетом, чтобы работа была сделана? Здесь проверяется ваша операционная эффективность.</t>
  </si>
  <si>
    <t>Задача: Оценка «внешнего контура» команды.</t>
  </si>
  <si>
    <t>Задача: Определить «точку входа». Что человек приносит в команду в момент создания проекта?</t>
  </si>
  <si>
    <t>2. Блок 2: Оборотная сторона медали (Слабости / Ограничения)</t>
  </si>
  <si>
    <t>7. Блок 7: Финализация (Результативность в работе)</t>
  </si>
  <si>
    <t>Задача: Определить, что вас «заряжает» в командной игре.</t>
  </si>
  <si>
    <t>Смысл: Проект невозможно сделать в одиночку. Этот блок проверяет, как вы реагируете на предложения коллег. Вы подхватываете идеи? Ищите в них изъяны? Или стараетесь «присвоить» их своей экспертизе? Это маркер вашей способности к коллаборации.</t>
  </si>
  <si>
    <t>5. Блок 5: Мотивация (Внутренние стимулы)</t>
  </si>
  <si>
    <t>Смысл: Здесь выявляется, какой ресурс вы даете первым. Это «аванс» команды. Кто-то заходит с идеями, кто-то с организаторскими способностями, а кто-то — с готовностью работать «в полях».</t>
  </si>
  <si>
    <t>4. Блок 4: Рабочий стиль (Поведение в процессе)</t>
  </si>
  <si>
    <t>Смысл: Команда может буксовать. Этот блок выявляет, что заставляет вас не бросить дело на полпути. Для одних это признание, для других — новизна задачи, для третьих — достижение конкретного результата. Это показатель «выносливости» вашего участия в цикле.</t>
  </si>
  <si>
    <t>Задача: Последний этап — «закрытие» задачи.</t>
  </si>
  <si>
    <t>Задача: Осознать «теневую сторону». У каждой сильной стороны есть цена.</t>
  </si>
  <si>
    <t>Смысл: Много команд отлично начинают, но не доводят дело до конца. Этот блок выявляет, есть ли у вас «финишная черта». Вы склонны доводить проект до идеала, бросать его как только смысл стал понятен, или постоянно проверять его на ошибки (контроль качества)?</t>
  </si>
  <si>
    <t>Распределите 7 баллов между 4 вариантами. Каждому из вариантов можно присвоить от 0 до 7 баллов. Чем больше баллов вы присваиваете варианту, тем точнее он описывает ваше обычное поведение. Одному утверждению можно отдать все 7 баллов.</t>
  </si>
  <si>
    <r>
      <t xml:space="preserve">Как работать с тестом? 
</t>
    </r>
    <r>
      <rPr>
        <sz val="11"/>
        <color theme="1"/>
        <rFont val="Calibri"/>
        <family val="2"/>
        <charset val="204"/>
      </rPr>
      <t>Вам будет предложено 14 блоков. В каждом из блоков распределите 7 баллов между 4 вариантами. Каждому из вариантов можно присвоить от 0 до 7 баллов. Чем больше баллов вы присваиваете варианту, тем точнее он описывает ваше обычное поведение. Одному утверждению можно отдать все 7 баллов.</t>
    </r>
  </si>
  <si>
    <t>Я могу настаивать на соблюдении договорённостей и ясности правил, даже когда ситуация требует гибкости</t>
  </si>
  <si>
    <t>Я могу быть требовательным к срокам и результатам для клиента и компании, уделяя недостаточно внимания состоянию подчиненных</t>
  </si>
  <si>
    <t>Я могу тратить много времени на создание отношений в команде и откладывать трудные, непопулярные решения</t>
  </si>
  <si>
    <t>Какую роль обычно берете на себя при обсуждении совместных задач?</t>
  </si>
  <si>
    <t>Я помогаю услышать друг друга, открыто обменяться мнениями, договориться о совместной работе</t>
  </si>
  <si>
    <t>Я помогаю оценить идеи по их вкладу в прибыль\KPI и пользу для Общества</t>
  </si>
  <si>
    <t>Я создаю благоприятную атмосферу для открытого обсуждения идей в команде</t>
  </si>
  <si>
    <t>Анализирую качество выполнения задачи и то, какую ценность для клиента приносит результат</t>
  </si>
  <si>
    <t>Помогаю участникам услышать друг друга и договориться о совместной работе</t>
  </si>
  <si>
    <t xml:space="preserve">Помогаю сотрудникам увидеть влозможности для развития и поддерживаю инициативу </t>
  </si>
  <si>
    <t>Проясняю роли, договоренности и порядок совместной работы</t>
  </si>
  <si>
    <t xml:space="preserve">Помогаю определить ожидаемый результат  и ценность задачи для клиента </t>
  </si>
  <si>
    <t>При возникновении конфликтов в общих задачах вы чаще?</t>
  </si>
  <si>
    <t>Помогаю увидеть в разногласии новое решение, ведь конфликт часто становится отправной точкой к развитию</t>
  </si>
  <si>
    <t>Возвращаю обсуждение к общей цели, фактам, потребностям клиента, чтобы быстрее двигаться дальше</t>
  </si>
  <si>
    <t>Проясняю предмет разногласия и корректирую процесс так, чтобы проблема не повторилась</t>
  </si>
  <si>
    <t>Создание воспроизводимого подхода, который упростит выполнение похожих задач в будущем</t>
  </si>
  <si>
    <t>Каковы ваши недостатки как лидера?</t>
  </si>
  <si>
    <t>Какова ваша ценность для команды?</t>
  </si>
  <si>
    <t>Каковы особенности вашего лидерского стиля в рабочем процессе?</t>
  </si>
  <si>
    <t>Каков ваш вклад в развитие идей коллег?</t>
  </si>
  <si>
    <t>Когда команда приступает к новой задаче, на чем вы как лидер фокусируетесь прежде всего?</t>
  </si>
  <si>
    <t>Как вы обычно действуете, когда понимаете, что команда отклоняется от цели?</t>
  </si>
  <si>
    <t>На анализе проблемы клиента/заказчика и быстрый переход к делу</t>
  </si>
  <si>
    <t>Что для вас наиболее важно в результатах работы вашей команды?</t>
  </si>
  <si>
    <t>На создании благоприятной командной атмосферы и взаимодействии</t>
  </si>
  <si>
    <t>На мотивации и развитии сотрудников</t>
  </si>
  <si>
    <t>На чем вы сосредоточитесь, если вам предложат решить сложную задачу с незнакомыми людьми?</t>
  </si>
  <si>
    <t>На создании структуры и порядка в работе и документообороте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</si>
</sst>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name val="Calibri"/>
    </font>
    <font>
      <b/>
      <sz val="11"/>
      <color theme="1"/>
      <name val="Calibri"/>
      <family val="2"/>
      <charset val="204"/>
    </font>
    <font>
      <sz val="11"/>
      <color theme="1"/>
      <name val="Calibri"/>
      <family val="2"/>
      <charset val="204"/>
    </font>
    <font>
      <sz val="11"/>
      <color rgb="FFFF0000"/>
      <name val="Calibri"/>
      <family val="2"/>
      <charset val="204"/>
    </font>
    <font>
      <sz val="11"/>
      <color theme="1"/>
      <name val="Calibri"/>
      <family val="2"/>
      <charset val="204"/>
    </font>
    <font>
      <i/>
      <sz val="11"/>
      <color theme="1"/>
      <name val="Calibri"/>
      <family val="2"/>
      <charset val="204"/>
    </font>
    <font>
      <sz val="11"/>
      <name val="Calibri"/>
      <family val="2"/>
      <charset val="204"/>
    </font>
    <font>
      <u/>
      <sz val="11"/>
      <color theme="10"/>
      <name val="Calibri"/>
      <family val="2"/>
      <charset val="204"/>
    </font>
    <font>
      <b/>
      <sz val="14"/>
      <color theme="1"/>
      <name val="Calibri"/>
      <family val="2"/>
      <charset val="204"/>
    </font>
    <font>
      <sz val="10"/>
      <color rgb="FFFF0000"/>
      <name val="Calibri"/>
      <family val="2"/>
      <charset val="204"/>
    </font>
    <font>
      <b/>
      <sz val="11"/>
      <name val="Calibri"/>
      <family val="2"/>
      <charset val="204"/>
    </font>
    <font>
      <vertAlign val="subscript"/>
      <sz val="11"/>
      <color theme="1"/>
      <name val="Calibri"/>
      <family val="2"/>
      <charset val="204"/>
    </font>
    <font>
      <sz val="8"/>
      <color rgb="FF000000"/>
      <name val="Calibri"/>
      <family val="2"/>
      <charset val="204"/>
    </font>
    <font>
      <sz val="10"/>
      <color rgb="FF000000"/>
      <name val="Calibri"/>
      <family val="2"/>
      <charset val="204"/>
    </font>
    <font>
      <sz val="18"/>
      <name val="Arial"/>
      <family val="2"/>
      <charset val="204"/>
    </font>
    <font>
      <sz val="12"/>
      <color rgb="FF000000"/>
      <name val="Calibri"/>
      <family val="2"/>
      <charset val="204"/>
    </font>
    <font>
      <sz val="9"/>
      <color theme="1"/>
      <name val="Calibri"/>
      <family val="2"/>
      <charset val="204"/>
    </font>
    <font>
      <b/>
      <sz val="12"/>
      <color theme="1"/>
      <name val="Calibri"/>
      <family val="2"/>
      <charset val="204"/>
    </font>
    <font>
      <sz val="8"/>
      <color rgb="FFFF0000"/>
      <name val="Calibri"/>
      <family val="2"/>
      <charset val="204"/>
    </font>
    <font>
      <sz val="8"/>
      <color theme="1"/>
      <name val="Calibri"/>
      <family val="2"/>
      <charset val="204"/>
    </font>
    <font>
      <b/>
      <sz val="18"/>
      <color rgb="FF4A148C"/>
      <name val="Calibri"/>
      <family val="2"/>
      <charset val="204"/>
    </font>
    <font>
      <b/>
      <sz val="11"/>
      <color rgb="FFFFFFFF"/>
      <name val="Calibri"/>
      <family val="2"/>
      <charset val="204"/>
    </font>
    <font>
      <b/>
      <sz val="14"/>
      <color rgb="FFFFFFFF"/>
      <name val="Calibri"/>
      <family val="2"/>
      <charset val="204"/>
    </font>
    <font>
      <b/>
      <sz val="13"/>
      <color rgb="FF4A148C"/>
      <name val="Calibri"/>
      <family val="2"/>
      <charset val="204"/>
    </font>
    <font>
      <b/>
      <sz val="11"/>
      <color rgb="FFE65100"/>
      <name val="Calibri"/>
      <family val="2"/>
      <charset val="204"/>
    </font>
    <font>
      <sz val="11"/>
      <color rgb="FF6A1B9A"/>
      <name val="Calibri"/>
      <family val="2"/>
      <charset val="204"/>
    </font>
    <font>
      <b/>
      <sz val="11"/>
      <color rgb="FF00897B"/>
      <name val="Calibri"/>
      <family val="2"/>
      <charset val="204"/>
    </font>
    <font>
      <b/>
      <sz val="11"/>
      <color rgb="FF6A1B9A"/>
      <name val="Calibri"/>
      <family val="2"/>
      <charset val="204"/>
    </font>
    <font>
      <b/>
      <sz val="11"/>
      <color rgb="FF1565C0"/>
      <name val="Calibri"/>
      <family val="2"/>
      <charset val="204"/>
    </font>
    <font>
      <b/>
      <sz val="18"/>
      <color rgb="FFFFFFFF"/>
      <name val="Calibri"/>
      <family val="2"/>
      <charset val="204"/>
    </font>
    <font>
      <b/>
      <sz val="13"/>
      <color rgb="FFFFFFFF"/>
      <name val="Calibri"/>
      <family val="2"/>
      <charset val="204"/>
    </font>
    <font>
      <i/>
      <sz val="10"/>
      <color theme="1"/>
      <name val="Calibri"/>
      <family val="2"/>
      <charset val="204"/>
    </font>
    <font>
      <b/>
      <u/>
      <sz val="11"/>
      <color rgb="FF6A1B9A"/>
      <name val="Calibri"/>
      <family val="2"/>
      <charset val="204"/>
    </font>
    <font>
      <b/>
      <sz val="24"/>
      <color theme="1"/>
      <name val="Calibri"/>
      <family val="2"/>
      <charset val="204"/>
    </font>
    <font>
      <b/>
      <sz val="14"/>
      <color rgb="FF4A148C"/>
      <name val="Calibri"/>
      <family val="2"/>
      <charset val="204"/>
    </font>
    <font>
      <sz val="13.5"/>
      <color rgb="FF121212"/>
      <name val="Arial"/>
      <family val="2"/>
      <charset val="204"/>
    </font>
    <font>
      <b/>
      <sz val="12"/>
      <color rgb="FF121212"/>
      <name val="Arial"/>
      <family val="2"/>
      <charset val="204"/>
    </font>
    <font>
      <sz val="11"/>
      <color theme="1"/>
      <name val="Calibri"/>
      <family val="2"/>
      <charset val="204"/>
    </font>
    <font>
      <sz val="11"/>
      <name val="Calibri"/>
      <family val="2"/>
      <charset val="204"/>
    </font>
    <font>
      <b/>
      <sz val="11"/>
      <color theme="1"/>
      <name val="Calibri"/>
      <family val="2"/>
      <charset val="204"/>
    </font>
  </fonts>
  <fills count="18">
    <fill>
      <patternFill patternType="none"/>
    </fill>
    <fill>
      <patternFill patternType="gray125"/>
    </fill>
    <fill>
      <patternFill patternType="solid">
        <fgColor theme="0"/>
      </patternFill>
    </fill>
    <fill>
      <patternFill patternType="solid">
        <fgColor theme="8" tint="0.79989013336588644"/>
        <bgColor indexed="65"/>
      </patternFill>
    </fill>
    <fill>
      <patternFill patternType="solid">
        <fgColor theme="9" tint="0.79989013336588644"/>
        <bgColor indexed="65"/>
      </patternFill>
    </fill>
    <fill>
      <patternFill patternType="solid">
        <fgColor rgb="FFF8F8F8"/>
      </patternFill>
    </fill>
    <fill>
      <patternFill patternType="solid">
        <fgColor rgb="FFF5F0FA"/>
      </patternFill>
    </fill>
    <fill>
      <patternFill patternType="solid">
        <fgColor rgb="FF00897B"/>
      </patternFill>
    </fill>
    <fill>
      <patternFill patternType="solid">
        <fgColor rgb="FF4A148C"/>
      </patternFill>
    </fill>
    <fill>
      <patternFill patternType="solid">
        <fgColor rgb="FF1565C0"/>
      </patternFill>
    </fill>
    <fill>
      <patternFill patternType="solid">
        <fgColor rgb="FFE65100"/>
      </patternFill>
    </fill>
    <fill>
      <patternFill patternType="solid">
        <fgColor rgb="FF6A1B9A"/>
      </patternFill>
    </fill>
    <fill>
      <patternFill patternType="solid">
        <fgColor rgb="FFECECEC"/>
      </patternFill>
    </fill>
    <fill>
      <patternFill patternType="solid">
        <fgColor rgb="FFE1D7F0"/>
      </patternFill>
    </fill>
    <fill>
      <patternFill patternType="solid">
        <fgColor rgb="FFC62828"/>
      </patternFill>
    </fill>
    <fill>
      <patternFill patternType="solid">
        <fgColor rgb="FF388E3C"/>
      </patternFill>
    </fill>
    <fill>
      <patternFill patternType="solid">
        <fgColor rgb="FFEF6C00"/>
      </patternFill>
    </fill>
    <fill>
      <patternFill patternType="solid">
        <fgColor theme="8" tint="0.79998168889431442"/>
        <bgColor indexed="64"/>
      </patternFill>
    </fill>
  </fills>
  <borders count="32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style="medium">
        <color rgb="FF000000"/>
      </left>
      <right/>
      <top/>
      <bottom/>
      <diagonal/>
    </border>
    <border>
      <left style="medium">
        <color rgb="FF000000"/>
      </left>
      <right/>
      <top/>
      <bottom/>
      <diagonal/>
    </border>
    <border>
      <left style="medium">
        <color rgb="FF000000"/>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bottom/>
      <diagonal/>
    </border>
    <border>
      <left/>
      <right/>
      <top style="medium">
        <color rgb="FF000000"/>
      </top>
      <bottom/>
      <diagonal/>
    </border>
    <border>
      <left/>
      <right style="medium">
        <color rgb="FF000000"/>
      </right>
      <top/>
      <bottom/>
      <diagonal/>
    </border>
    <border>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style="thin">
        <color rgb="FFE1D7F0"/>
      </top>
      <bottom style="thin">
        <color rgb="FFE1D7F0"/>
      </bottom>
      <diagonal/>
    </border>
    <border>
      <left/>
      <right/>
      <top style="thin">
        <color rgb="FFE1D7F0"/>
      </top>
      <bottom/>
      <diagonal/>
    </border>
    <border>
      <left style="medium">
        <color rgb="FF000000"/>
      </left>
      <right/>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style="medium">
        <color rgb="FF000000"/>
      </right>
      <top/>
      <bottom/>
      <diagonal/>
    </border>
    <border>
      <left/>
      <right/>
      <top style="thin">
        <color rgb="FFE1D7F0"/>
      </top>
      <bottom/>
      <diagonal/>
    </border>
    <border>
      <left style="medium">
        <color rgb="FF000000"/>
      </left>
      <right/>
      <top/>
      <bottom style="thin">
        <color rgb="FFE1D7F0"/>
      </bottom>
      <diagonal/>
    </border>
    <border>
      <left/>
      <right style="medium">
        <color rgb="FF000000"/>
      </right>
      <top style="thin">
        <color rgb="FFE1D7F0"/>
      </top>
      <bottom/>
      <diagonal/>
    </border>
    <border>
      <left/>
      <right/>
      <top/>
      <bottom style="thin">
        <color rgb="FFE1D7F0"/>
      </bottom>
      <diagonal/>
    </border>
    <border>
      <left/>
      <right style="medium">
        <color rgb="FF000000"/>
      </right>
      <top/>
      <bottom/>
      <diagonal/>
    </border>
    <border>
      <left/>
      <right/>
      <top/>
      <bottom style="thin">
        <color rgb="FFE1D7F0"/>
      </bottom>
      <diagonal/>
    </border>
    <border>
      <left style="medium">
        <color rgb="FF000000"/>
      </left>
      <right style="medium">
        <color rgb="FF000000"/>
      </right>
      <top style="thin">
        <color rgb="FFE1D7F0"/>
      </top>
      <bottom style="medium">
        <color rgb="FF000000"/>
      </bottom>
      <diagonal/>
    </border>
    <border>
      <left/>
      <right/>
      <top/>
      <bottom style="thin">
        <color rgb="FFE1D7F0"/>
      </bottom>
      <diagonal/>
    </border>
    <border>
      <left/>
      <right/>
      <top style="thin">
        <color rgb="FFE1D7F0"/>
      </top>
      <bottom/>
      <diagonal/>
    </border>
    <border>
      <left style="medium">
        <color rgb="FF000000"/>
      </left>
      <right/>
      <top/>
      <bottom/>
      <diagonal/>
    </border>
    <border>
      <left/>
      <right/>
      <top/>
      <bottom style="thin">
        <color rgb="FFE1D7F0"/>
      </bottom>
      <diagonal/>
    </border>
    <border>
      <left/>
      <right/>
      <top style="thin">
        <color rgb="FFE1D7F0"/>
      </top>
      <bottom/>
      <diagonal/>
    </border>
    <border>
      <left/>
      <right/>
      <top/>
      <bottom style="thin">
        <color rgb="FFE1D7F0"/>
      </bottom>
      <diagonal/>
    </border>
    <border>
      <left/>
      <right/>
      <top style="thin">
        <color rgb="FFE1D7F0"/>
      </top>
      <bottom/>
      <diagonal/>
    </border>
    <border>
      <left/>
      <right/>
      <top/>
      <bottom style="thin">
        <color rgb="FFE1D7F0"/>
      </bottom>
      <diagonal/>
    </border>
    <border>
      <left/>
      <right/>
      <top style="thin">
        <color rgb="FFE1D7F0"/>
      </top>
      <bottom/>
      <diagonal/>
    </border>
    <border>
      <left style="medium">
        <color rgb="FF000000"/>
      </left>
      <right/>
      <top/>
      <bottom/>
      <diagonal/>
    </border>
    <border>
      <left/>
      <right/>
      <top style="thin">
        <color rgb="FFE1D7F0"/>
      </top>
      <bottom/>
      <diagonal/>
    </border>
    <border>
      <left/>
      <right/>
      <top/>
      <bottom style="thin">
        <color rgb="FFE1D7F0"/>
      </bottom>
      <diagonal/>
    </border>
    <border>
      <left style="medium">
        <color rgb="FF000000"/>
      </left>
      <right/>
      <top/>
      <bottom/>
      <diagonal/>
    </border>
    <border>
      <left/>
      <right/>
      <top style="thin">
        <color rgb="FFE1D7F0"/>
      </top>
      <bottom/>
      <diagonal/>
    </border>
    <border>
      <left/>
      <right style="medium">
        <color rgb="FF000000"/>
      </right>
      <top/>
      <bottom style="thin">
        <color rgb="FFE1D7F0"/>
      </bottom>
      <diagonal/>
    </border>
    <border>
      <left/>
      <right/>
      <top style="thin">
        <color rgb="FFE1D7F0"/>
      </top>
      <bottom/>
      <diagonal/>
    </border>
    <border>
      <left/>
      <right style="medium">
        <color rgb="FF000000"/>
      </right>
      <top style="thin">
        <color rgb="FFE1D7F0"/>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style="thin">
        <color rgb="FFE1D7F0"/>
      </bottom>
      <diagonal/>
    </border>
    <border>
      <left/>
      <right/>
      <top/>
      <bottom style="thin">
        <color rgb="FFE1D7F0"/>
      </bottom>
      <diagonal/>
    </border>
    <border>
      <left/>
      <right/>
      <top/>
      <bottom style="thin">
        <color rgb="FFE1D7F0"/>
      </bottom>
      <diagonal/>
    </border>
    <border>
      <left style="medium">
        <color rgb="FF000000"/>
      </left>
      <right/>
      <top/>
      <bottom/>
      <diagonal/>
    </border>
    <border>
      <left/>
      <right/>
      <top/>
      <bottom style="thin">
        <color rgb="FFE1D7F0"/>
      </bottom>
      <diagonal/>
    </border>
    <border>
      <left style="medium">
        <color rgb="FF000000"/>
      </left>
      <right/>
      <top/>
      <bottom/>
      <diagonal/>
    </border>
    <border>
      <left/>
      <right/>
      <top/>
      <bottom style="thin">
        <color rgb="FFE1D7F0"/>
      </bottom>
      <diagonal/>
    </border>
    <border>
      <left/>
      <right/>
      <top/>
      <bottom style="thin">
        <color rgb="FFE1D7F0"/>
      </bottom>
      <diagonal/>
    </border>
    <border>
      <left/>
      <right style="medium">
        <color rgb="FF000000"/>
      </right>
      <top/>
      <bottom/>
      <diagonal/>
    </border>
    <border>
      <left/>
      <right/>
      <top/>
      <bottom style="thin">
        <color rgb="FFE1D7F0"/>
      </bottom>
      <diagonal/>
    </border>
    <border>
      <left/>
      <right/>
      <top/>
      <bottom style="thin">
        <color rgb="FFE1D7F0"/>
      </bottom>
      <diagonal/>
    </border>
    <border>
      <left/>
      <right style="medium">
        <color rgb="FF000000"/>
      </right>
      <top/>
      <bottom style="thin">
        <color rgb="FFE1D7F0"/>
      </bottom>
      <diagonal/>
    </border>
    <border>
      <left/>
      <right style="medium">
        <color rgb="FF000000"/>
      </right>
      <top/>
      <bottom/>
      <diagonal/>
    </border>
    <border>
      <left/>
      <right style="medium">
        <color rgb="FF000000"/>
      </right>
      <top/>
      <bottom/>
      <diagonal/>
    </border>
    <border>
      <left style="medium">
        <color rgb="FF000000"/>
      </left>
      <right/>
      <top/>
      <bottom/>
      <diagonal/>
    </border>
    <border>
      <left/>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top style="thin">
        <color rgb="FFE1D7F0"/>
      </top>
      <bottom/>
      <diagonal/>
    </border>
    <border>
      <left/>
      <right/>
      <top style="thin">
        <color rgb="FFE1D7F0"/>
      </top>
      <bottom/>
      <diagonal/>
    </border>
    <border>
      <left/>
      <right style="medium">
        <color rgb="FF000000"/>
      </right>
      <top/>
      <bottom/>
      <diagonal/>
    </border>
    <border>
      <left/>
      <right/>
      <top style="thin">
        <color rgb="FFE1D7F0"/>
      </top>
      <bottom/>
      <diagonal/>
    </border>
    <border>
      <left/>
      <right style="medium">
        <color rgb="FF000000"/>
      </right>
      <top style="thin">
        <color rgb="FFE1D7F0"/>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style="medium">
        <color rgb="FF000000"/>
      </left>
      <right style="thin">
        <color rgb="FF000000"/>
      </right>
      <top style="thin">
        <color rgb="FF000000"/>
      </top>
      <bottom style="thin">
        <color rgb="FF000000"/>
      </bottom>
      <diagonal/>
    </border>
    <border>
      <left style="medium">
        <color rgb="FF000000"/>
      </left>
      <right/>
      <top/>
      <bottom style="thin">
        <color rgb="FFE1D7F0"/>
      </bottom>
      <diagonal/>
    </border>
    <border>
      <left/>
      <right/>
      <top/>
      <bottom style="thin">
        <color rgb="FFE1D7F0"/>
      </bottom>
      <diagonal/>
    </border>
    <border>
      <left/>
      <right style="thin">
        <color rgb="FF000000"/>
      </right>
      <top style="thin">
        <color rgb="FF000000"/>
      </top>
      <bottom style="thin">
        <color rgb="FF000000"/>
      </bottom>
      <diagonal/>
    </border>
    <border>
      <left/>
      <right/>
      <top/>
      <bottom style="thin">
        <color rgb="FFE1D7F0"/>
      </bottom>
      <diagonal/>
    </border>
    <border>
      <left/>
      <right style="medium">
        <color rgb="FF000000"/>
      </right>
      <top/>
      <bottom/>
      <diagonal/>
    </border>
    <border>
      <left style="medium">
        <color rgb="FF000000"/>
      </left>
      <right/>
      <top/>
      <bottom/>
      <diagonal/>
    </border>
    <border>
      <left/>
      <right/>
      <top/>
      <bottom style="thin">
        <color rgb="FFE1D7F0"/>
      </bottom>
      <diagonal/>
    </border>
    <border>
      <left/>
      <right/>
      <top/>
      <bottom style="thin">
        <color rgb="FFE1D7F0"/>
      </bottom>
      <diagonal/>
    </border>
    <border>
      <left/>
      <right/>
      <top/>
      <bottom style="thin">
        <color rgb="FFE1D7F0"/>
      </bottom>
      <diagonal/>
    </border>
    <border>
      <left/>
      <right style="thin">
        <color rgb="FF000000"/>
      </right>
      <top style="thin">
        <color rgb="FF000000"/>
      </top>
      <bottom style="thin">
        <color rgb="FF000000"/>
      </bottom>
      <diagonal/>
    </border>
    <border>
      <left/>
      <right style="medium">
        <color rgb="FF000000"/>
      </right>
      <top/>
      <bottom/>
      <diagonal/>
    </border>
    <border>
      <left/>
      <right/>
      <top/>
      <bottom style="thin">
        <color rgb="FFE1D7F0"/>
      </bottom>
      <diagonal/>
    </border>
    <border>
      <left/>
      <right/>
      <top/>
      <bottom style="thin">
        <color rgb="FFE1D7F0"/>
      </bottom>
      <diagonal/>
    </border>
    <border>
      <left/>
      <right style="medium">
        <color rgb="FF000000"/>
      </right>
      <top/>
      <bottom style="thin">
        <color rgb="FFE1D7F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style="medium">
        <color rgb="FF000000"/>
      </right>
      <top/>
      <bottom/>
      <diagonal/>
    </border>
    <border>
      <left/>
      <right/>
      <top/>
      <bottom style="medium">
        <color rgb="FF000000"/>
      </bottom>
      <diagonal/>
    </border>
    <border>
      <left/>
      <right/>
      <top/>
      <bottom style="medium">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right/>
      <top/>
      <bottom style="medium">
        <color rgb="FF000000"/>
      </bottom>
      <diagonal/>
    </border>
    <border>
      <left style="medium">
        <color rgb="FF000000"/>
      </left>
      <right/>
      <top/>
      <bottom/>
      <diagonal/>
    </border>
    <border>
      <left/>
      <right style="thin">
        <color rgb="FF000000"/>
      </right>
      <top style="thin">
        <color rgb="FF000000"/>
      </top>
      <bottom style="thin">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thin">
        <color rgb="FFE1D7F0"/>
      </bottom>
      <diagonal/>
    </border>
    <border>
      <left style="medium">
        <color rgb="FF000000"/>
      </left>
      <right style="medium">
        <color rgb="FF000000"/>
      </right>
      <top style="thin">
        <color rgb="FFE1D7F0"/>
      </top>
      <bottom/>
      <diagonal/>
    </border>
    <border>
      <left style="medium">
        <color rgb="FF000000"/>
      </left>
      <right/>
      <top/>
      <bottom/>
      <diagonal/>
    </border>
    <border>
      <left/>
      <right/>
      <top/>
      <bottom style="thin">
        <color rgb="FFE1D7F0"/>
      </bottom>
      <diagonal/>
    </border>
    <border>
      <left/>
      <right/>
      <top style="thin">
        <color rgb="FFE1D7F0"/>
      </top>
      <bottom/>
      <diagonal/>
    </border>
    <border>
      <left/>
      <right/>
      <top/>
      <bottom style="thin">
        <color rgb="FFE1D7F0"/>
      </bottom>
      <diagonal/>
    </border>
    <border>
      <left/>
      <right style="medium">
        <color rgb="FF000000"/>
      </right>
      <top/>
      <bottom/>
      <diagonal/>
    </border>
    <border>
      <left/>
      <right/>
      <top style="thin">
        <color rgb="FFE1D7F0"/>
      </top>
      <bottom/>
      <diagonal/>
    </border>
    <border>
      <left/>
      <right/>
      <top/>
      <bottom style="thin">
        <color rgb="FFE1D7F0"/>
      </bottom>
      <diagonal/>
    </border>
    <border>
      <left style="medium">
        <color rgb="FF000000"/>
      </left>
      <right/>
      <top/>
      <bottom/>
      <diagonal/>
    </border>
    <border>
      <left/>
      <right/>
      <top/>
      <bottom style="thin">
        <color rgb="FFE1D7F0"/>
      </bottom>
      <diagonal/>
    </border>
    <border>
      <left/>
      <right/>
      <top style="thin">
        <color rgb="FFE1D7F0"/>
      </top>
      <bottom/>
      <diagonal/>
    </border>
    <border>
      <left/>
      <right style="medium">
        <color rgb="FF000000"/>
      </right>
      <top/>
      <bottom/>
      <diagonal/>
    </border>
    <border>
      <left/>
      <right/>
      <top/>
      <bottom style="thin">
        <color rgb="FFE1D7F0"/>
      </bottom>
      <diagonal/>
    </border>
    <border>
      <left/>
      <right/>
      <top/>
      <bottom style="thin">
        <color rgb="FFE1D7F0"/>
      </bottom>
      <diagonal/>
    </border>
    <border>
      <left/>
      <right style="thin">
        <color rgb="FF000000"/>
      </right>
      <top style="thin">
        <color rgb="FF000000"/>
      </top>
      <bottom style="thin">
        <color rgb="FF000000"/>
      </bottom>
      <diagonal/>
    </border>
    <border>
      <left/>
      <right/>
      <top/>
      <bottom style="thin">
        <color rgb="FFE1D7F0"/>
      </bottom>
      <diagonal/>
    </border>
    <border>
      <left/>
      <right style="medium">
        <color rgb="FF000000"/>
      </right>
      <top/>
      <bottom/>
      <diagonal/>
    </border>
    <border>
      <left/>
      <right style="medium">
        <color rgb="FF000000"/>
      </right>
      <top/>
      <bottom style="thin">
        <color rgb="FFE1D7F0"/>
      </bottom>
      <diagonal/>
    </border>
    <border>
      <left/>
      <right/>
      <top style="thin">
        <color rgb="FFE1D7F0"/>
      </top>
      <bottom/>
      <diagonal/>
    </border>
    <border>
      <left/>
      <right style="medium">
        <color rgb="FF000000"/>
      </right>
      <top/>
      <bottom/>
      <diagonal/>
    </border>
    <border>
      <left/>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style="thin">
        <color rgb="FF000000"/>
      </right>
      <top style="thin">
        <color rgb="FF000000"/>
      </top>
      <bottom style="thin">
        <color rgb="FF000000"/>
      </bottom>
      <diagonal/>
    </border>
    <border>
      <left/>
      <right style="medium">
        <color rgb="FF000000"/>
      </right>
      <top style="thin">
        <color rgb="FFE1D7F0"/>
      </top>
      <bottom/>
      <diagonal/>
    </border>
    <border>
      <left style="medium">
        <color rgb="FF000000"/>
      </left>
      <right/>
      <top/>
      <bottom/>
      <diagonal/>
    </border>
    <border>
      <left style="medium">
        <color rgb="FF000000"/>
      </left>
      <right/>
      <top/>
      <bottom/>
      <diagonal/>
    </border>
    <border>
      <left/>
      <right style="thin">
        <color rgb="FF000000"/>
      </right>
      <top style="thin">
        <color rgb="FF000000"/>
      </top>
      <bottom style="thin">
        <color rgb="FF000000"/>
      </bottom>
      <diagonal/>
    </border>
    <border>
      <left/>
      <right style="medium">
        <color rgb="FF000000"/>
      </right>
      <top/>
      <bottom/>
      <diagonal/>
    </border>
    <border>
      <left/>
      <right style="medium">
        <color rgb="FF000000"/>
      </right>
      <top/>
      <bottom/>
      <diagonal/>
    </border>
    <border>
      <left/>
      <right style="thin">
        <color rgb="FF000000"/>
      </right>
      <top style="thin">
        <color rgb="FF000000"/>
      </top>
      <bottom style="thin">
        <color rgb="FF000000"/>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top/>
      <bottom style="thin">
        <color rgb="FFE1D7F0"/>
      </bottom>
      <diagonal/>
    </border>
    <border>
      <left/>
      <right style="thin">
        <color rgb="FF000000"/>
      </right>
      <top style="thin">
        <color rgb="FF000000"/>
      </top>
      <bottom style="thin">
        <color rgb="FF000000"/>
      </bottom>
      <diagonal/>
    </border>
    <border>
      <left/>
      <right/>
      <top/>
      <bottom style="thin">
        <color rgb="FFE1D7F0"/>
      </bottom>
      <diagonal/>
    </border>
    <border>
      <left/>
      <right/>
      <top/>
      <bottom style="thin">
        <color rgb="FFE1D7F0"/>
      </bottom>
      <diagonal/>
    </border>
    <border>
      <left/>
      <right style="medium">
        <color rgb="FF000000"/>
      </right>
      <top/>
      <bottom/>
      <diagonal/>
    </border>
    <border>
      <left/>
      <right/>
      <top/>
      <bottom style="thin">
        <color rgb="FFE1D7F0"/>
      </bottom>
      <diagonal/>
    </border>
    <border>
      <left/>
      <right style="thin">
        <color rgb="FF000000"/>
      </right>
      <top style="thin">
        <color rgb="FF000000"/>
      </top>
      <bottom style="thin">
        <color rgb="FF000000"/>
      </bottom>
      <diagonal/>
    </border>
    <border>
      <left/>
      <right/>
      <top/>
      <bottom style="thin">
        <color rgb="FFE1D7F0"/>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top/>
      <bottom style="thin">
        <color rgb="FFE1D7F0"/>
      </bottom>
      <diagonal/>
    </border>
    <border>
      <left/>
      <right/>
      <top/>
      <bottom style="thin">
        <color rgb="FFE1D7F0"/>
      </bottom>
      <diagonal/>
    </border>
    <border>
      <left/>
      <right/>
      <top/>
      <bottom style="thin">
        <color rgb="FFE1D7F0"/>
      </bottom>
      <diagonal/>
    </border>
    <border>
      <left/>
      <right style="thin">
        <color rgb="FF000000"/>
      </right>
      <top style="thin">
        <color rgb="FF000000"/>
      </top>
      <bottom style="thin">
        <color rgb="FF000000"/>
      </bottom>
      <diagonal/>
    </border>
    <border>
      <left/>
      <right style="medium">
        <color rgb="FF000000"/>
      </right>
      <top/>
      <bottom style="thin">
        <color rgb="FFE1D7F0"/>
      </bottom>
      <diagonal/>
    </border>
    <border>
      <left/>
      <right style="medium">
        <color rgb="FF000000"/>
      </right>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style="medium">
        <color rgb="FF000000"/>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style="medium">
        <color rgb="FF000000"/>
      </right>
      <top/>
      <bottom/>
      <diagonal/>
    </border>
    <border>
      <left/>
      <right style="medium">
        <color rgb="FF000000"/>
      </right>
      <top style="thin">
        <color rgb="FFE1D7F0"/>
      </top>
      <bottom/>
      <diagonal/>
    </border>
    <border>
      <left/>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style="medium">
        <color rgb="FF000000"/>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top style="thin">
        <color rgb="FFE1D7F0"/>
      </top>
      <bottom/>
      <diagonal/>
    </border>
    <border>
      <left/>
      <right style="medium">
        <color rgb="FF000000"/>
      </right>
      <top/>
      <bottom/>
      <diagonal/>
    </border>
    <border>
      <left/>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top style="thin">
        <color rgb="FFE1D7F0"/>
      </top>
      <bottom/>
      <diagonal/>
    </border>
    <border>
      <left/>
      <right style="medium">
        <color rgb="FF000000"/>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style="medium">
        <color rgb="FF000000"/>
      </right>
      <top/>
      <bottom/>
      <diagonal/>
    </border>
    <border>
      <left/>
      <right/>
      <top style="thin">
        <color rgb="FFE1D7F0"/>
      </top>
      <bottom/>
      <diagonal/>
    </border>
    <border>
      <left/>
      <right style="medium">
        <color rgb="FF000000"/>
      </right>
      <top/>
      <bottom/>
      <diagonal/>
    </border>
    <border>
      <left/>
      <right/>
      <top style="thin">
        <color rgb="FFE1D7F0"/>
      </top>
      <bottom/>
      <diagonal/>
    </border>
    <border>
      <left style="medium">
        <color rgb="FF000000"/>
      </left>
      <right/>
      <top/>
      <bottom/>
      <diagonal/>
    </border>
    <border>
      <left/>
      <right style="medium">
        <color rgb="FF000000"/>
      </right>
      <top style="thin">
        <color rgb="FFE1D7F0"/>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style="thin">
        <color rgb="FFE1D7F0"/>
      </bottom>
      <diagonal/>
    </border>
    <border>
      <left/>
      <right/>
      <top/>
      <bottom style="thin">
        <color rgb="FFE1D7F0"/>
      </bottom>
      <diagonal/>
    </border>
    <border>
      <left style="medium">
        <color rgb="FF000000"/>
      </left>
      <right/>
      <top/>
      <bottom/>
      <diagonal/>
    </border>
    <border>
      <left/>
      <right style="medium">
        <color rgb="FF000000"/>
      </right>
      <top/>
      <bottom/>
      <diagonal/>
    </border>
    <border>
      <left/>
      <right/>
      <top/>
      <bottom style="thin">
        <color rgb="FFE1D7F0"/>
      </bottom>
      <diagonal/>
    </border>
    <border>
      <left/>
      <right/>
      <top/>
      <bottom style="thin">
        <color rgb="FFE1D7F0"/>
      </bottom>
      <diagonal/>
    </border>
    <border>
      <left/>
      <right style="medium">
        <color rgb="FF000000"/>
      </right>
      <top/>
      <bottom/>
      <diagonal/>
    </border>
    <border>
      <left/>
      <right/>
      <top/>
      <bottom style="thin">
        <color rgb="FFE1D7F0"/>
      </bottom>
      <diagonal/>
    </border>
    <border>
      <left/>
      <right style="medium">
        <color rgb="FF000000"/>
      </right>
      <top/>
      <bottom/>
      <diagonal/>
    </border>
    <border>
      <left/>
      <right/>
      <top/>
      <bottom style="thin">
        <color rgb="FFE1D7F0"/>
      </bottom>
      <diagonal/>
    </border>
    <border>
      <left style="medium">
        <color rgb="FF000000"/>
      </left>
      <right/>
      <top/>
      <bottom/>
      <diagonal/>
    </border>
    <border>
      <left/>
      <right/>
      <top/>
      <bottom style="thin">
        <color rgb="FFE1D7F0"/>
      </bottom>
      <diagonal/>
    </border>
    <border>
      <left/>
      <right/>
      <top/>
      <bottom style="thin">
        <color rgb="FFE1D7F0"/>
      </bottom>
      <diagonal/>
    </border>
    <border>
      <left style="medium">
        <color rgb="FF000000"/>
      </left>
      <right/>
      <top/>
      <bottom/>
      <diagonal/>
    </border>
    <border>
      <left/>
      <right style="medium">
        <color rgb="FF000000"/>
      </right>
      <top/>
      <bottom/>
      <diagonal/>
    </border>
    <border>
      <left/>
      <right style="medium">
        <color rgb="FF000000"/>
      </right>
      <top/>
      <bottom style="thin">
        <color rgb="FFE1D7F0"/>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style="medium">
        <color rgb="FF000000"/>
      </right>
      <top style="thin">
        <color rgb="FFE1D7F0"/>
      </top>
      <bottom/>
      <diagonal/>
    </border>
    <border>
      <left/>
      <right style="medium">
        <color rgb="FF000000"/>
      </right>
      <top/>
      <bottom/>
      <diagonal/>
    </border>
  </borders>
  <cellStyleXfs count="1">
    <xf numFmtId="0" fontId="0" fillId="0" borderId="0" applyFont="0" applyFill="0" applyBorder="0"/>
  </cellStyleXfs>
  <cellXfs count="443">
    <xf numFmtId="0" fontId="0" fillId="0" borderId="0" xfId="0" applyNumberFormat="1"/>
    <xf numFmtId="0" fontId="1" fillId="0" borderId="0" xfId="0" applyNumberFormat="1" applyFont="1" applyAlignment="1">
      <alignment horizontal="center"/>
    </xf>
    <xf numFmtId="0" fontId="2" fillId="0" borderId="0" xfId="0" applyNumberFormat="1" applyFont="1" applyAlignment="1">
      <alignment vertical="top" wrapText="1"/>
    </xf>
    <xf numFmtId="0" fontId="2" fillId="0" borderId="0" xfId="0" applyNumberFormat="1" applyFont="1" applyAlignment="1">
      <alignment vertical="top"/>
    </xf>
    <xf numFmtId="0" fontId="2" fillId="0" borderId="0" xfId="0" applyNumberFormat="1" applyFont="1" applyAlignment="1">
      <alignment wrapText="1"/>
    </xf>
    <xf numFmtId="0" fontId="2" fillId="2" borderId="0" xfId="0" applyNumberFormat="1" applyFont="1" applyFill="1"/>
    <xf numFmtId="0" fontId="2" fillId="0" borderId="1" xfId="0" applyNumberFormat="1" applyFont="1" applyBorder="1"/>
    <xf numFmtId="0" fontId="1" fillId="0" borderId="1" xfId="0" applyNumberFormat="1" applyFont="1" applyBorder="1" applyAlignment="1">
      <alignment horizontal="left"/>
    </xf>
    <xf numFmtId="0" fontId="2" fillId="0" borderId="2" xfId="0" applyNumberFormat="1" applyFont="1" applyBorder="1"/>
    <xf numFmtId="0" fontId="1" fillId="3" borderId="2" xfId="0" applyNumberFormat="1" applyFont="1" applyFill="1" applyBorder="1" applyAlignment="1">
      <alignment wrapText="1"/>
    </xf>
    <xf numFmtId="0" fontId="2" fillId="0" borderId="3" xfId="0" applyNumberFormat="1" applyFont="1" applyBorder="1"/>
    <xf numFmtId="1" fontId="2" fillId="0" borderId="3" xfId="0" applyNumberFormat="1" applyFont="1" applyBorder="1"/>
    <xf numFmtId="0" fontId="1" fillId="2" borderId="2" xfId="0" applyNumberFormat="1" applyFont="1" applyFill="1" applyBorder="1" applyAlignment="1">
      <alignment vertical="top" wrapText="1"/>
    </xf>
    <xf numFmtId="0" fontId="1" fillId="2" borderId="0" xfId="0" applyNumberFormat="1" applyFont="1" applyFill="1"/>
    <xf numFmtId="0" fontId="3" fillId="2" borderId="0" xfId="0" applyNumberFormat="1" applyFont="1" applyFill="1" applyAlignment="1">
      <alignment horizontal="left" vertical="center" wrapText="1"/>
    </xf>
    <xf numFmtId="0" fontId="5" fillId="2" borderId="0" xfId="0" applyNumberFormat="1" applyFont="1" applyFill="1" applyAlignment="1">
      <alignment vertical="top" wrapText="1"/>
    </xf>
    <xf numFmtId="0" fontId="3" fillId="2" borderId="0" xfId="0" applyNumberFormat="1" applyFont="1" applyFill="1" applyAlignment="1">
      <alignment vertical="top" wrapText="1"/>
    </xf>
    <xf numFmtId="0" fontId="1" fillId="2" borderId="0" xfId="0" applyNumberFormat="1" applyFont="1" applyFill="1" applyAlignment="1">
      <alignment vertical="top" wrapText="1"/>
    </xf>
    <xf numFmtId="0" fontId="3" fillId="2" borderId="0" xfId="0" applyNumberFormat="1" applyFont="1" applyFill="1"/>
    <xf numFmtId="0" fontId="2" fillId="2" borderId="0" xfId="0" applyNumberFormat="1" applyFont="1" applyFill="1" applyAlignment="1">
      <alignment vertical="top"/>
    </xf>
    <xf numFmtId="0" fontId="1" fillId="0" borderId="2" xfId="0" applyNumberFormat="1" applyFont="1" applyBorder="1" applyAlignment="1">
      <alignment horizontal="left"/>
    </xf>
    <xf numFmtId="1" fontId="2" fillId="0" borderId="2" xfId="0" applyNumberFormat="1" applyFont="1" applyBorder="1"/>
    <xf numFmtId="0" fontId="7" fillId="2" borderId="0" xfId="0" applyNumberFormat="1" applyFont="1" applyFill="1" applyAlignment="1">
      <alignment vertical="top"/>
    </xf>
    <xf numFmtId="0" fontId="3" fillId="0" borderId="0" xfId="0" applyNumberFormat="1" applyFont="1"/>
    <xf numFmtId="0" fontId="3" fillId="2" borderId="0" xfId="0" applyNumberFormat="1" applyFont="1" applyFill="1" applyAlignment="1">
      <alignment wrapText="1"/>
    </xf>
    <xf numFmtId="0" fontId="1" fillId="0" borderId="0" xfId="0" applyNumberFormat="1" applyFont="1"/>
    <xf numFmtId="0" fontId="2" fillId="0" borderId="2" xfId="0" applyNumberFormat="1" applyFont="1" applyBorder="1" applyAlignment="1">
      <alignment wrapText="1"/>
    </xf>
    <xf numFmtId="0" fontId="2" fillId="2" borderId="0" xfId="0" applyNumberFormat="1" applyFont="1" applyFill="1" applyAlignment="1">
      <alignment wrapText="1"/>
    </xf>
    <xf numFmtId="0" fontId="2" fillId="0" borderId="2" xfId="0" applyNumberFormat="1" applyFont="1" applyBorder="1"/>
    <xf numFmtId="0" fontId="2" fillId="2" borderId="2" xfId="0" applyNumberFormat="1" applyFont="1" applyFill="1" applyBorder="1"/>
    <xf numFmtId="0" fontId="2" fillId="2" borderId="2" xfId="0" applyNumberFormat="1" applyFont="1" applyFill="1" applyBorder="1" applyAlignment="1">
      <alignment wrapText="1"/>
    </xf>
    <xf numFmtId="0" fontId="8" fillId="2" borderId="2" xfId="0" applyNumberFormat="1" applyFont="1" applyFill="1" applyBorder="1" applyAlignment="1">
      <alignment horizontal="center" vertical="center"/>
    </xf>
    <xf numFmtId="0" fontId="9" fillId="2" borderId="0" xfId="0" applyNumberFormat="1" applyFont="1" applyFill="1" applyAlignment="1">
      <alignment vertical="center" wrapText="1"/>
    </xf>
    <xf numFmtId="0" fontId="10" fillId="2" borderId="0" xfId="0" applyNumberFormat="1" applyFont="1" applyFill="1" applyAlignment="1">
      <alignment vertical="top" wrapText="1"/>
    </xf>
    <xf numFmtId="0" fontId="11" fillId="2" borderId="0" xfId="0" applyNumberFormat="1" applyFont="1" applyFill="1"/>
    <xf numFmtId="0" fontId="2" fillId="2" borderId="0" xfId="0" applyNumberFormat="1" applyFont="1" applyFill="1"/>
    <xf numFmtId="0" fontId="1" fillId="0" borderId="1" xfId="0" applyNumberFormat="1" applyFont="1" applyBorder="1" applyAlignment="1">
      <alignment horizontal="left" vertical="top"/>
    </xf>
    <xf numFmtId="0" fontId="2" fillId="3" borderId="3" xfId="0" applyNumberFormat="1" applyFont="1" applyFill="1" applyBorder="1" applyAlignment="1">
      <alignment vertical="top" wrapText="1"/>
    </xf>
    <xf numFmtId="0" fontId="2" fillId="0" borderId="1" xfId="0" applyNumberFormat="1" applyFont="1" applyBorder="1" applyAlignment="1">
      <alignment horizontal="left" vertical="top"/>
    </xf>
    <xf numFmtId="0" fontId="2" fillId="0" borderId="2" xfId="0" applyNumberFormat="1" applyFont="1" applyBorder="1" applyAlignment="1">
      <alignment horizontal="left" vertical="top" wrapText="1"/>
    </xf>
    <xf numFmtId="0" fontId="2" fillId="0" borderId="2" xfId="0" applyNumberFormat="1" applyFont="1" applyBorder="1" applyAlignment="1">
      <alignment horizontal="left" vertical="top"/>
    </xf>
    <xf numFmtId="0" fontId="2" fillId="3" borderId="3" xfId="0" applyNumberFormat="1" applyFont="1" applyFill="1" applyBorder="1"/>
    <xf numFmtId="0" fontId="1" fillId="3" borderId="2" xfId="0" applyNumberFormat="1" applyFont="1" applyFill="1" applyBorder="1" applyAlignment="1">
      <alignment wrapText="1"/>
    </xf>
    <xf numFmtId="0" fontId="1" fillId="0" borderId="0" xfId="0" applyNumberFormat="1" applyFont="1" applyAlignment="1">
      <alignment wrapText="1"/>
    </xf>
    <xf numFmtId="0" fontId="12" fillId="0" borderId="2" xfId="0" applyNumberFormat="1" applyFont="1" applyBorder="1" applyAlignment="1">
      <alignment horizontal="center" vertical="center" wrapText="1"/>
    </xf>
    <xf numFmtId="0" fontId="13" fillId="0" borderId="2" xfId="0" applyNumberFormat="1" applyFont="1" applyBorder="1" applyAlignment="1">
      <alignment horizontal="center" vertical="center" wrapText="1"/>
    </xf>
    <xf numFmtId="0" fontId="1" fillId="0" borderId="0" xfId="0" applyNumberFormat="1" applyFont="1" applyAlignment="1">
      <alignment vertical="top" wrapText="1"/>
    </xf>
    <xf numFmtId="0" fontId="14" fillId="0" borderId="16" xfId="0" applyNumberFormat="1" applyFont="1" applyBorder="1" applyAlignment="1">
      <alignment wrapText="1"/>
    </xf>
    <xf numFmtId="0" fontId="15" fillId="0" borderId="0" xfId="0" applyNumberFormat="1" applyFont="1" applyAlignment="1">
      <alignment horizontal="left" vertical="center"/>
    </xf>
    <xf numFmtId="0" fontId="14" fillId="0" borderId="0" xfId="0" applyNumberFormat="1" applyFont="1" applyAlignment="1">
      <alignment wrapText="1"/>
    </xf>
    <xf numFmtId="0" fontId="16" fillId="0" borderId="0" xfId="0" applyNumberFormat="1" applyFont="1" applyAlignment="1">
      <alignment wrapText="1"/>
    </xf>
    <xf numFmtId="0" fontId="1" fillId="4" borderId="2" xfId="0" applyNumberFormat="1" applyFont="1" applyFill="1" applyBorder="1" applyAlignment="1">
      <alignment horizontal="center"/>
    </xf>
    <xf numFmtId="0" fontId="1" fillId="4" borderId="2" xfId="0" applyNumberFormat="1" applyFont="1" applyFill="1" applyBorder="1" applyAlignment="1">
      <alignment horizontal="center" vertical="center"/>
    </xf>
    <xf numFmtId="0" fontId="16" fillId="0" borderId="0" xfId="0" applyNumberFormat="1" applyFont="1"/>
    <xf numFmtId="0" fontId="1" fillId="0" borderId="2" xfId="0" applyNumberFormat="1" applyFont="1" applyBorder="1" applyAlignment="1">
      <alignment vertical="top" wrapText="1"/>
    </xf>
    <xf numFmtId="0" fontId="17" fillId="0" borderId="0" xfId="0" applyNumberFormat="1" applyFont="1" applyAlignment="1">
      <alignment horizontal="center" vertical="center"/>
    </xf>
    <xf numFmtId="0" fontId="1" fillId="3" borderId="2" xfId="0" applyNumberFormat="1" applyFont="1" applyFill="1" applyBorder="1" applyAlignment="1">
      <alignment horizontal="center" vertical="top"/>
    </xf>
    <xf numFmtId="0" fontId="18" fillId="0" borderId="0" xfId="0" applyNumberFormat="1" applyFont="1"/>
    <xf numFmtId="0" fontId="2" fillId="0" borderId="2" xfId="0" applyNumberFormat="1" applyFont="1" applyBorder="1" applyAlignment="1">
      <alignment vertical="top" wrapText="1"/>
    </xf>
    <xf numFmtId="0" fontId="19" fillId="0" borderId="0" xfId="0" applyNumberFormat="1" applyFont="1" applyAlignment="1">
      <alignment vertical="top" wrapText="1"/>
    </xf>
    <xf numFmtId="0" fontId="21" fillId="7" borderId="0" xfId="0" applyNumberFormat="1" applyFont="1" applyFill="1"/>
    <xf numFmtId="0" fontId="21" fillId="9" borderId="0" xfId="0" applyNumberFormat="1" applyFont="1" applyFill="1"/>
    <xf numFmtId="0" fontId="21" fillId="10" borderId="0" xfId="0" applyNumberFormat="1" applyFont="1" applyFill="1"/>
    <xf numFmtId="0" fontId="21" fillId="11" borderId="0" xfId="0" applyNumberFormat="1" applyFont="1" applyFill="1"/>
    <xf numFmtId="0" fontId="25" fillId="0" borderId="0" xfId="0" applyNumberFormat="1" applyFont="1"/>
    <xf numFmtId="0" fontId="2" fillId="12" borderId="26" xfId="0" applyNumberFormat="1" applyFont="1" applyFill="1" applyBorder="1"/>
    <xf numFmtId="0" fontId="2" fillId="12" borderId="0" xfId="0" applyNumberFormat="1" applyFont="1" applyFill="1"/>
    <xf numFmtId="0" fontId="2" fillId="12" borderId="37" xfId="0" applyNumberFormat="1" applyFont="1" applyFill="1" applyBorder="1"/>
    <xf numFmtId="0" fontId="3" fillId="2" borderId="0" xfId="0" applyNumberFormat="1" applyFont="1" applyFill="1" applyAlignment="1">
      <alignment vertical="center"/>
    </xf>
    <xf numFmtId="0" fontId="35" fillId="0" borderId="0" xfId="0" applyNumberFormat="1" applyFont="1" applyAlignment="1">
      <alignment vertical="center"/>
    </xf>
    <xf numFmtId="0" fontId="36" fillId="0" borderId="0" xfId="0" applyNumberFormat="1" applyFont="1" applyAlignment="1">
      <alignment horizontal="left" vertical="center" indent="1"/>
    </xf>
    <xf numFmtId="0" fontId="2" fillId="0" borderId="0" xfId="0" applyNumberFormat="1" applyFont="1" applyAlignment="1">
      <alignment horizontal="left" vertical="center" indent="1"/>
    </xf>
    <xf numFmtId="0" fontId="2" fillId="0" borderId="3" xfId="0" applyNumberFormat="1" applyFont="1" applyBorder="1" applyAlignment="1">
      <alignment vertical="top" wrapText="1"/>
    </xf>
    <xf numFmtId="0" fontId="38" fillId="0" borderId="2" xfId="0" applyNumberFormat="1" applyFont="1" applyBorder="1"/>
    <xf numFmtId="0" fontId="39" fillId="3" borderId="2" xfId="0" applyNumberFormat="1" applyFont="1" applyFill="1" applyBorder="1" applyAlignment="1">
      <alignment wrapText="1"/>
    </xf>
    <xf numFmtId="0" fontId="37" fillId="0" borderId="2" xfId="0" applyNumberFormat="1" applyFont="1" applyBorder="1"/>
    <xf numFmtId="0" fontId="39" fillId="3" borderId="2" xfId="0" applyNumberFormat="1" applyFont="1" applyFill="1" applyBorder="1" applyAlignment="1">
      <alignment horizontal="left" vertical="top"/>
    </xf>
    <xf numFmtId="0" fontId="39" fillId="3" borderId="2" xfId="0" applyNumberFormat="1" applyFont="1" applyFill="1" applyBorder="1"/>
    <xf numFmtId="0" fontId="39" fillId="17" borderId="2" xfId="0" applyNumberFormat="1" applyFont="1" applyFill="1" applyBorder="1" applyAlignment="1">
      <alignment wrapText="1"/>
    </xf>
    <xf numFmtId="0" fontId="39" fillId="3" borderId="2" xfId="0" applyNumberFormat="1" applyFont="1" applyFill="1" applyBorder="1" applyAlignment="1">
      <alignment vertical="top" wrapText="1"/>
    </xf>
    <xf numFmtId="0" fontId="2" fillId="0" borderId="0" xfId="0" applyNumberFormat="1" applyFont="1" applyFill="1" applyBorder="1"/>
    <xf numFmtId="0" fontId="2" fillId="0" borderId="0" xfId="0" applyNumberFormat="1" applyFont="1" applyFill="1" applyBorder="1" applyAlignment="1">
      <alignment wrapText="1"/>
    </xf>
    <xf numFmtId="0" fontId="4" fillId="0" borderId="0" xfId="0" applyNumberFormat="1" applyFont="1" applyFill="1" applyBorder="1"/>
    <xf numFmtId="0" fontId="37" fillId="0" borderId="0" xfId="0" applyNumberFormat="1" applyFont="1" applyFill="1" applyBorder="1" applyAlignment="1">
      <alignment wrapText="1"/>
    </xf>
    <xf numFmtId="0" fontId="0" fillId="0" borderId="0" xfId="0" applyNumberFormat="1" applyFill="1" applyBorder="1"/>
    <xf numFmtId="0" fontId="6" fillId="0" borderId="0" xfId="0" applyNumberFormat="1" applyFont="1" applyFill="1" applyBorder="1"/>
    <xf numFmtId="0" fontId="37" fillId="0" borderId="0" xfId="0" applyNumberFormat="1" applyFont="1" applyFill="1" applyBorder="1"/>
    <xf numFmtId="0" fontId="2" fillId="0" borderId="4" xfId="0" applyNumberFormat="1" applyFont="1" applyBorder="1" applyAlignment="1">
      <alignment horizontal="center"/>
    </xf>
    <xf numFmtId="0" fontId="2" fillId="0" borderId="5" xfId="0" applyNumberFormat="1" applyFont="1" applyBorder="1" applyAlignment="1">
      <alignment horizontal="center"/>
    </xf>
    <xf numFmtId="0" fontId="2" fillId="0" borderId="6" xfId="0" applyNumberFormat="1" applyFont="1" applyBorder="1" applyAlignment="1">
      <alignment horizontal="center"/>
    </xf>
    <xf numFmtId="0" fontId="2" fillId="0" borderId="7" xfId="0" applyNumberFormat="1" applyFont="1" applyBorder="1" applyAlignment="1">
      <alignment horizontal="center"/>
    </xf>
    <xf numFmtId="0" fontId="2" fillId="0" borderId="8" xfId="0" applyNumberFormat="1" applyFont="1" applyBorder="1" applyAlignment="1">
      <alignment horizontal="center"/>
    </xf>
    <xf numFmtId="0" fontId="2" fillId="0" borderId="9" xfId="0" applyNumberFormat="1" applyFont="1" applyBorder="1" applyAlignment="1">
      <alignment horizontal="center"/>
    </xf>
    <xf numFmtId="0" fontId="13" fillId="0" borderId="17" xfId="0" applyNumberFormat="1" applyFont="1" applyBorder="1" applyAlignment="1">
      <alignment horizontal="center" vertical="center" textRotation="90" wrapText="1"/>
    </xf>
    <xf numFmtId="0" fontId="13" fillId="0" borderId="22" xfId="0" applyNumberFormat="1" applyFont="1" applyBorder="1" applyAlignment="1">
      <alignment horizontal="center" vertical="center" textRotation="90" wrapText="1"/>
    </xf>
    <xf numFmtId="0" fontId="13" fillId="0" borderId="23" xfId="0" applyNumberFormat="1" applyFont="1" applyBorder="1" applyAlignment="1">
      <alignment horizontal="center" vertical="center" textRotation="90" wrapText="1"/>
    </xf>
    <xf numFmtId="0" fontId="13" fillId="0" borderId="24" xfId="0" applyNumberFormat="1" applyFont="1" applyBorder="1" applyAlignment="1">
      <alignment horizontal="center" vertical="center" textRotation="90" wrapText="1"/>
    </xf>
    <xf numFmtId="0" fontId="0" fillId="0" borderId="11" xfId="0" applyBorder="1" applyAlignment="1">
      <alignment vertical="center" textRotation="90" wrapText="1"/>
    </xf>
    <xf numFmtId="0" fontId="0" fillId="0" borderId="13" xfId="0" applyBorder="1" applyAlignment="1">
      <alignment vertical="center" textRotation="90" wrapText="1"/>
    </xf>
    <xf numFmtId="0" fontId="13" fillId="0" borderId="20" xfId="0" applyNumberFormat="1" applyFont="1" applyBorder="1" applyAlignment="1">
      <alignment horizontal="center" vertical="center" textRotation="90" wrapText="1"/>
    </xf>
    <xf numFmtId="0" fontId="0" fillId="0" borderId="12" xfId="0" applyBorder="1" applyAlignment="1">
      <alignment vertical="center" textRotation="90" wrapText="1"/>
    </xf>
    <xf numFmtId="0" fontId="0" fillId="0" borderId="14" xfId="0" applyBorder="1" applyAlignment="1">
      <alignment vertical="center" textRotation="90" wrapText="1"/>
    </xf>
    <xf numFmtId="0" fontId="0" fillId="0" borderId="15" xfId="0" applyBorder="1" applyAlignment="1">
      <alignment vertical="center" textRotation="90" wrapText="1"/>
    </xf>
    <xf numFmtId="0" fontId="0" fillId="0" borderId="10" xfId="0" applyBorder="1" applyAlignment="1">
      <alignment vertical="center" textRotation="90" wrapText="1"/>
    </xf>
    <xf numFmtId="0" fontId="13" fillId="0" borderId="19" xfId="0" applyNumberFormat="1" applyFont="1" applyBorder="1" applyAlignment="1">
      <alignment horizontal="center" vertical="center" textRotation="90" wrapText="1"/>
    </xf>
    <xf numFmtId="0" fontId="13" fillId="0" borderId="21" xfId="0" applyNumberFormat="1" applyFont="1" applyBorder="1" applyAlignment="1">
      <alignment horizontal="center" vertical="center" textRotation="90" wrapText="1"/>
    </xf>
    <xf numFmtId="0" fontId="13" fillId="0" borderId="18" xfId="0" applyNumberFormat="1" applyFont="1" applyBorder="1" applyAlignment="1">
      <alignment horizontal="center" vertical="center" textRotation="90" wrapText="1"/>
    </xf>
    <xf numFmtId="0" fontId="14" fillId="0" borderId="0" xfId="0" applyNumberFormat="1" applyFont="1" applyAlignment="1">
      <alignment wrapText="1"/>
    </xf>
    <xf numFmtId="0" fontId="22" fillId="8" borderId="0" xfId="0" applyNumberFormat="1" applyFont="1" applyFill="1"/>
    <xf numFmtId="0" fontId="2" fillId="0" borderId="0" xfId="0" applyNumberFormat="1" applyFont="1" applyAlignment="1">
      <alignment wrapText="1"/>
    </xf>
    <xf numFmtId="0" fontId="0" fillId="0" borderId="0" xfId="0" applyAlignment="1">
      <alignment wrapText="1"/>
    </xf>
    <xf numFmtId="0" fontId="20" fillId="6" borderId="0" xfId="0" applyNumberFormat="1" applyFont="1" applyFill="1"/>
    <xf numFmtId="0" fontId="23" fillId="0" borderId="0" xfId="0" applyNumberFormat="1" applyFont="1" applyAlignment="1">
      <alignment wrapText="1"/>
    </xf>
    <xf numFmtId="0" fontId="27" fillId="0" borderId="0" xfId="0" applyNumberFormat="1" applyFont="1"/>
    <xf numFmtId="0" fontId="24" fillId="0" borderId="0" xfId="0" applyNumberFormat="1" applyFont="1"/>
    <xf numFmtId="0" fontId="5" fillId="0" borderId="0" xfId="0" applyNumberFormat="1" applyFont="1"/>
    <xf numFmtId="0" fontId="2" fillId="5" borderId="0" xfId="0" applyNumberFormat="1" applyFont="1" applyFill="1" applyAlignment="1">
      <alignment wrapText="1"/>
    </xf>
    <xf numFmtId="0" fontId="0" fillId="5" borderId="0" xfId="0" applyFill="1" applyAlignment="1">
      <alignment wrapText="1"/>
    </xf>
    <xf numFmtId="0" fontId="28" fillId="0" borderId="0" xfId="0" applyNumberFormat="1" applyFont="1"/>
    <xf numFmtId="0" fontId="26" fillId="0" borderId="0" xfId="0" applyNumberFormat="1" applyFont="1"/>
    <xf numFmtId="0" fontId="29" fillId="8" borderId="28" xfId="0" applyNumberFormat="1" applyFont="1" applyFill="1" applyBorder="1" applyAlignment="1">
      <alignment horizontal="center" vertical="center" wrapText="1"/>
    </xf>
    <xf numFmtId="0" fontId="29" fillId="8" borderId="29" xfId="0" applyNumberFormat="1" applyFont="1" applyFill="1" applyBorder="1" applyAlignment="1">
      <alignment horizontal="center" vertical="center" wrapText="1"/>
    </xf>
    <xf numFmtId="0" fontId="29" fillId="8" borderId="30" xfId="0" applyNumberFormat="1" applyFont="1" applyFill="1" applyBorder="1" applyAlignment="1">
      <alignment horizontal="center" vertical="center" wrapText="1"/>
    </xf>
    <xf numFmtId="0" fontId="29" fillId="8" borderId="31" xfId="0" applyNumberFormat="1" applyFont="1" applyFill="1" applyBorder="1" applyAlignment="1">
      <alignment horizontal="center" vertical="center" wrapText="1"/>
    </xf>
    <xf numFmtId="0" fontId="29" fillId="8" borderId="32" xfId="0" applyNumberFormat="1" applyFont="1" applyFill="1" applyBorder="1" applyAlignment="1">
      <alignment horizontal="center" vertical="center" wrapText="1"/>
    </xf>
    <xf numFmtId="0" fontId="29" fillId="8" borderId="33" xfId="0" applyNumberFormat="1" applyFont="1" applyFill="1" applyBorder="1" applyAlignment="1">
      <alignment horizontal="center" vertical="center" wrapText="1"/>
    </xf>
    <xf numFmtId="0" fontId="29" fillId="8" borderId="34" xfId="0" applyNumberFormat="1" applyFont="1" applyFill="1" applyBorder="1" applyAlignment="1">
      <alignment horizontal="center" vertical="center" wrapText="1"/>
    </xf>
    <xf numFmtId="0" fontId="29" fillId="8" borderId="36" xfId="0" applyNumberFormat="1" applyFont="1" applyFill="1" applyBorder="1" applyAlignment="1">
      <alignment horizontal="center" vertical="center" wrapText="1"/>
    </xf>
    <xf numFmtId="0" fontId="29" fillId="8" borderId="38" xfId="0" applyNumberFormat="1" applyFont="1" applyFill="1" applyBorder="1" applyAlignment="1">
      <alignment horizontal="center" vertical="center" wrapText="1"/>
    </xf>
    <xf numFmtId="0" fontId="29" fillId="8" borderId="44" xfId="0" applyNumberFormat="1" applyFont="1" applyFill="1" applyBorder="1" applyAlignment="1">
      <alignment horizontal="center" vertical="center" wrapText="1"/>
    </xf>
    <xf numFmtId="0" fontId="29" fillId="8" borderId="0" xfId="0" applyNumberFormat="1" applyFont="1" applyFill="1" applyAlignment="1">
      <alignment horizontal="center" vertical="center" wrapText="1"/>
    </xf>
    <xf numFmtId="0" fontId="29" fillId="8" borderId="47" xfId="0" applyNumberFormat="1" applyFont="1" applyFill="1" applyBorder="1" applyAlignment="1">
      <alignment horizontal="center" vertical="center" wrapText="1"/>
    </xf>
    <xf numFmtId="0" fontId="30" fillId="8" borderId="40" xfId="0" applyNumberFormat="1" applyFont="1" applyFill="1" applyBorder="1" applyAlignment="1">
      <alignment vertical="top"/>
    </xf>
    <xf numFmtId="0" fontId="30" fillId="8" borderId="0" xfId="0" applyNumberFormat="1" applyFont="1" applyFill="1" applyAlignment="1">
      <alignment vertical="top"/>
    </xf>
    <xf numFmtId="0" fontId="30" fillId="8" borderId="118" xfId="0" applyNumberFormat="1" applyFont="1" applyFill="1" applyBorder="1" applyAlignment="1">
      <alignment vertical="top"/>
    </xf>
    <xf numFmtId="0" fontId="21" fillId="16" borderId="2" xfId="0" applyNumberFormat="1" applyFont="1" applyFill="1" applyBorder="1" applyAlignment="1">
      <alignment horizontal="center"/>
    </xf>
    <xf numFmtId="0" fontId="21" fillId="16" borderId="152" xfId="0" applyNumberFormat="1" applyFont="1" applyFill="1" applyBorder="1" applyAlignment="1">
      <alignment horizontal="center"/>
    </xf>
    <xf numFmtId="0" fontId="21" fillId="11" borderId="2" xfId="0" applyNumberFormat="1" applyFont="1" applyFill="1" applyBorder="1" applyAlignment="1">
      <alignment horizontal="center"/>
    </xf>
    <xf numFmtId="0" fontId="21" fillId="11" borderId="133" xfId="0" applyNumberFormat="1" applyFont="1" applyFill="1" applyBorder="1" applyAlignment="1">
      <alignment horizontal="center"/>
    </xf>
    <xf numFmtId="0" fontId="30" fillId="8" borderId="40" xfId="0" applyNumberFormat="1" applyFont="1" applyFill="1" applyBorder="1" applyAlignment="1">
      <alignment horizontal="left" vertical="top"/>
    </xf>
    <xf numFmtId="0" fontId="30" fillId="8" borderId="0" xfId="0" applyNumberFormat="1" applyFont="1" applyFill="1" applyAlignment="1">
      <alignment horizontal="left" vertical="top"/>
    </xf>
    <xf numFmtId="0" fontId="30" fillId="8" borderId="90" xfId="0" applyNumberFormat="1" applyFont="1" applyFill="1" applyBorder="1" applyAlignment="1">
      <alignment horizontal="left" vertical="top"/>
    </xf>
    <xf numFmtId="0" fontId="2" fillId="2" borderId="54" xfId="0" applyNumberFormat="1" applyFont="1" applyFill="1" applyBorder="1" applyAlignment="1">
      <alignment vertical="top" wrapText="1"/>
    </xf>
    <xf numFmtId="0" fontId="2" fillId="2" borderId="107" xfId="0" applyNumberFormat="1" applyFont="1" applyFill="1" applyBorder="1" applyAlignment="1">
      <alignment vertical="top" wrapText="1"/>
    </xf>
    <xf numFmtId="0" fontId="2" fillId="2" borderId="108" xfId="0" applyNumberFormat="1" applyFont="1" applyFill="1" applyBorder="1" applyAlignment="1">
      <alignment vertical="top" wrapText="1"/>
    </xf>
    <xf numFmtId="0" fontId="2" fillId="2" borderId="110" xfId="0" applyNumberFormat="1" applyFont="1" applyFill="1" applyBorder="1" applyAlignment="1">
      <alignment vertical="top" wrapText="1"/>
    </xf>
    <xf numFmtId="0" fontId="2" fillId="2" borderId="112" xfId="0" applyNumberFormat="1" applyFont="1" applyFill="1" applyBorder="1" applyAlignment="1">
      <alignment vertical="top" wrapText="1"/>
    </xf>
    <xf numFmtId="0" fontId="2" fillId="2" borderId="113" xfId="0" applyNumberFormat="1" applyFont="1" applyFill="1" applyBorder="1" applyAlignment="1">
      <alignment vertical="top" wrapText="1"/>
    </xf>
    <xf numFmtId="0" fontId="2" fillId="2" borderId="114" xfId="0" applyNumberFormat="1" applyFont="1" applyFill="1" applyBorder="1" applyAlignment="1">
      <alignment vertical="top" wrapText="1"/>
    </xf>
    <xf numFmtId="0" fontId="2" fillId="2" borderId="116" xfId="0" applyNumberFormat="1" applyFont="1" applyFill="1" applyBorder="1" applyAlignment="1">
      <alignment vertical="top" wrapText="1"/>
    </xf>
    <xf numFmtId="0" fontId="2" fillId="2" borderId="117" xfId="0" applyNumberFormat="1" applyFont="1" applyFill="1" applyBorder="1" applyAlignment="1">
      <alignment vertical="top" wrapText="1"/>
    </xf>
    <xf numFmtId="0" fontId="2" fillId="2" borderId="129" xfId="0" applyNumberFormat="1" applyFont="1" applyFill="1" applyBorder="1" applyAlignment="1">
      <alignment vertical="top" wrapText="1"/>
    </xf>
    <xf numFmtId="0" fontId="2" fillId="2" borderId="0" xfId="0" applyNumberFormat="1" applyFont="1" applyFill="1" applyAlignment="1">
      <alignment vertical="top" wrapText="1"/>
    </xf>
    <xf numFmtId="0" fontId="2" fillId="2" borderId="140" xfId="0" applyNumberFormat="1" applyFont="1" applyFill="1" applyBorder="1" applyAlignment="1">
      <alignment vertical="top" wrapText="1"/>
    </xf>
    <xf numFmtId="0" fontId="2" fillId="2" borderId="151" xfId="0" applyNumberFormat="1" applyFont="1" applyFill="1" applyBorder="1" applyAlignment="1">
      <alignment vertical="top" wrapText="1"/>
    </xf>
    <xf numFmtId="0" fontId="2" fillId="2" borderId="155" xfId="0" applyNumberFormat="1" applyFont="1" applyFill="1" applyBorder="1" applyAlignment="1">
      <alignment vertical="top" wrapText="1"/>
    </xf>
    <xf numFmtId="0" fontId="2" fillId="2" borderId="158" xfId="0" applyNumberFormat="1" applyFont="1" applyFill="1" applyBorder="1" applyAlignment="1">
      <alignment vertical="top" wrapText="1"/>
    </xf>
    <xf numFmtId="0" fontId="2" fillId="2" borderId="173" xfId="0" applyNumberFormat="1" applyFont="1" applyFill="1" applyBorder="1" applyAlignment="1">
      <alignment vertical="top" wrapText="1"/>
    </xf>
    <xf numFmtId="0" fontId="2" fillId="2" borderId="183" xfId="0" applyNumberFormat="1" applyFont="1" applyFill="1" applyBorder="1" applyAlignment="1">
      <alignment vertical="top" wrapText="1"/>
    </xf>
    <xf numFmtId="0" fontId="2" fillId="2" borderId="187" xfId="0" applyNumberFormat="1" applyFont="1" applyFill="1" applyBorder="1" applyAlignment="1">
      <alignment vertical="top" wrapText="1"/>
    </xf>
    <xf numFmtId="0" fontId="2" fillId="2" borderId="191" xfId="0" applyNumberFormat="1" applyFont="1" applyFill="1" applyBorder="1" applyAlignment="1">
      <alignment vertical="top" wrapText="1"/>
    </xf>
    <xf numFmtId="0" fontId="2" fillId="2" borderId="193" xfId="0" applyNumberFormat="1" applyFont="1" applyFill="1" applyBorder="1" applyAlignment="1">
      <alignment vertical="top" wrapText="1"/>
    </xf>
    <xf numFmtId="0" fontId="2" fillId="2" borderId="156" xfId="0" applyNumberFormat="1" applyFont="1" applyFill="1" applyBorder="1" applyAlignment="1">
      <alignment vertical="top" wrapText="1"/>
    </xf>
    <xf numFmtId="0" fontId="2" fillId="2" borderId="159" xfId="0" applyNumberFormat="1" applyFont="1" applyFill="1" applyBorder="1" applyAlignment="1">
      <alignment vertical="top" wrapText="1"/>
    </xf>
    <xf numFmtId="0" fontId="2" fillId="2" borderId="161" xfId="0" applyNumberFormat="1" applyFont="1" applyFill="1" applyBorder="1" applyAlignment="1">
      <alignment vertical="top" wrapText="1"/>
    </xf>
    <xf numFmtId="0" fontId="2" fillId="2" borderId="164" xfId="0" applyNumberFormat="1" applyFont="1" applyFill="1" applyBorder="1" applyAlignment="1">
      <alignment vertical="top" wrapText="1"/>
    </xf>
    <xf numFmtId="0" fontId="2" fillId="2" borderId="166" xfId="0" applyNumberFormat="1" applyFont="1" applyFill="1" applyBorder="1" applyAlignment="1">
      <alignment vertical="top" wrapText="1"/>
    </xf>
    <xf numFmtId="0" fontId="2" fillId="2" borderId="169" xfId="0" applyNumberFormat="1" applyFont="1" applyFill="1" applyBorder="1" applyAlignment="1">
      <alignment vertical="top" wrapText="1"/>
    </xf>
    <xf numFmtId="0" fontId="2" fillId="2" borderId="170" xfId="0" applyNumberFormat="1" applyFont="1" applyFill="1" applyBorder="1" applyAlignment="1">
      <alignment vertical="top" wrapText="1"/>
    </xf>
    <xf numFmtId="0" fontId="2" fillId="2" borderId="172" xfId="0" applyNumberFormat="1" applyFont="1" applyFill="1" applyBorder="1" applyAlignment="1">
      <alignment vertical="top" wrapText="1"/>
    </xf>
    <xf numFmtId="0" fontId="2" fillId="2" borderId="174" xfId="0" applyNumberFormat="1" applyFont="1" applyFill="1" applyBorder="1" applyAlignment="1">
      <alignment vertical="top" wrapText="1"/>
    </xf>
    <xf numFmtId="0" fontId="30" fillId="8" borderId="200" xfId="0" applyNumberFormat="1" applyFont="1" applyFill="1" applyBorder="1" applyAlignment="1">
      <alignment vertical="top"/>
    </xf>
    <xf numFmtId="0" fontId="2" fillId="2" borderId="218" xfId="0" applyNumberFormat="1" applyFont="1" applyFill="1" applyBorder="1" applyAlignment="1">
      <alignment vertical="top" wrapText="1"/>
    </xf>
    <xf numFmtId="0" fontId="2" fillId="2" borderId="222" xfId="0" applyNumberFormat="1" applyFont="1" applyFill="1" applyBorder="1" applyAlignment="1">
      <alignment vertical="top" wrapText="1"/>
    </xf>
    <xf numFmtId="0" fontId="2" fillId="2" borderId="224" xfId="0" applyNumberFormat="1" applyFont="1" applyFill="1" applyBorder="1" applyAlignment="1">
      <alignment vertical="top" wrapText="1"/>
    </xf>
    <xf numFmtId="0" fontId="2" fillId="2" borderId="225" xfId="0" applyNumberFormat="1" applyFont="1" applyFill="1" applyBorder="1" applyAlignment="1">
      <alignment vertical="top" wrapText="1"/>
    </xf>
    <xf numFmtId="0" fontId="2" fillId="2" borderId="226" xfId="0" applyNumberFormat="1" applyFont="1" applyFill="1" applyBorder="1" applyAlignment="1">
      <alignment vertical="top" wrapText="1"/>
    </xf>
    <xf numFmtId="0" fontId="2" fillId="2" borderId="227" xfId="0" applyNumberFormat="1" applyFont="1" applyFill="1" applyBorder="1" applyAlignment="1">
      <alignment vertical="top" wrapText="1"/>
    </xf>
    <xf numFmtId="0" fontId="2" fillId="2" borderId="229" xfId="0" applyNumberFormat="1" applyFont="1" applyFill="1" applyBorder="1" applyAlignment="1">
      <alignment vertical="top" wrapText="1"/>
    </xf>
    <xf numFmtId="0" fontId="2" fillId="2" borderId="232" xfId="0" applyNumberFormat="1" applyFont="1" applyFill="1" applyBorder="1" applyAlignment="1">
      <alignment vertical="top" wrapText="1"/>
    </xf>
    <xf numFmtId="0" fontId="2" fillId="2" borderId="245" xfId="0" applyNumberFormat="1" applyFont="1" applyFill="1" applyBorder="1" applyAlignment="1">
      <alignment vertical="top" wrapText="1"/>
    </xf>
    <xf numFmtId="0" fontId="2" fillId="2" borderId="260" xfId="0" applyNumberFormat="1" applyFont="1" applyFill="1" applyBorder="1" applyAlignment="1">
      <alignment vertical="top" wrapText="1"/>
    </xf>
    <xf numFmtId="0" fontId="2" fillId="2" borderId="267" xfId="0" applyNumberFormat="1" applyFont="1" applyFill="1" applyBorder="1" applyAlignment="1">
      <alignment vertical="top" wrapText="1"/>
    </xf>
    <xf numFmtId="0" fontId="2" fillId="2" borderId="274" xfId="0" applyNumberFormat="1" applyFont="1" applyFill="1" applyBorder="1" applyAlignment="1">
      <alignment vertical="top" wrapText="1"/>
    </xf>
    <xf numFmtId="0" fontId="2" fillId="2" borderId="280" xfId="0" applyNumberFormat="1" applyFont="1" applyFill="1" applyBorder="1" applyAlignment="1">
      <alignment vertical="top" wrapText="1"/>
    </xf>
    <xf numFmtId="0" fontId="2" fillId="2" borderId="287" xfId="0" applyNumberFormat="1" applyFont="1" applyFill="1" applyBorder="1" applyAlignment="1">
      <alignment vertical="top" wrapText="1"/>
    </xf>
    <xf numFmtId="0" fontId="2" fillId="2" borderId="293" xfId="0" applyNumberFormat="1" applyFont="1" applyFill="1" applyBorder="1" applyAlignment="1">
      <alignment vertical="top" wrapText="1"/>
    </xf>
    <xf numFmtId="0" fontId="2" fillId="2" borderId="300" xfId="0" applyNumberFormat="1" applyFont="1" applyFill="1" applyBorder="1" applyAlignment="1">
      <alignment vertical="top" wrapText="1"/>
    </xf>
    <xf numFmtId="0" fontId="2" fillId="2" borderId="310" xfId="0" applyNumberFormat="1" applyFont="1" applyFill="1" applyBorder="1" applyAlignment="1">
      <alignment vertical="top" wrapText="1"/>
    </xf>
    <xf numFmtId="0" fontId="2" fillId="2" borderId="315" xfId="0" applyNumberFormat="1" applyFont="1" applyFill="1" applyBorder="1" applyAlignment="1">
      <alignment vertical="top" wrapText="1"/>
    </xf>
    <xf numFmtId="0" fontId="2" fillId="2" borderId="314" xfId="0" applyNumberFormat="1" applyFont="1" applyFill="1" applyBorder="1" applyAlignment="1">
      <alignment vertical="top" wrapText="1"/>
    </xf>
    <xf numFmtId="0" fontId="2" fillId="2" borderId="317" xfId="0" applyNumberFormat="1" applyFont="1" applyFill="1" applyBorder="1" applyAlignment="1">
      <alignment vertical="top" wrapText="1"/>
    </xf>
    <xf numFmtId="0" fontId="2" fillId="2" borderId="319" xfId="0" applyNumberFormat="1" applyFont="1" applyFill="1" applyBorder="1" applyAlignment="1">
      <alignment vertical="top" wrapText="1"/>
    </xf>
    <xf numFmtId="0" fontId="2" fillId="2" borderId="328" xfId="0" applyNumberFormat="1" applyFont="1" applyFill="1" applyBorder="1" applyAlignment="1">
      <alignment vertical="top" wrapText="1"/>
    </xf>
    <xf numFmtId="0" fontId="0" fillId="2" borderId="64" xfId="0" applyFill="1" applyBorder="1" applyAlignment="1">
      <alignment vertical="top" wrapText="1"/>
    </xf>
    <xf numFmtId="0" fontId="0" fillId="2" borderId="66" xfId="0" applyFill="1" applyBorder="1" applyAlignment="1">
      <alignment vertical="top" wrapText="1"/>
    </xf>
    <xf numFmtId="0" fontId="0" fillId="2" borderId="68" xfId="0" applyFill="1" applyBorder="1" applyAlignment="1">
      <alignment vertical="top" wrapText="1"/>
    </xf>
    <xf numFmtId="0" fontId="0" fillId="2" borderId="70" xfId="0" applyFill="1" applyBorder="1" applyAlignment="1">
      <alignment vertical="top" wrapText="1"/>
    </xf>
    <xf numFmtId="0" fontId="0" fillId="2" borderId="73" xfId="0" applyFill="1" applyBorder="1" applyAlignment="1">
      <alignment vertical="top" wrapText="1"/>
    </xf>
    <xf numFmtId="0" fontId="0" fillId="2" borderId="75" xfId="0" applyFill="1" applyBorder="1" applyAlignment="1">
      <alignment vertical="top" wrapText="1"/>
    </xf>
    <xf numFmtId="0" fontId="0" fillId="2" borderId="77" xfId="0" applyFill="1" applyBorder="1" applyAlignment="1">
      <alignment vertical="top" wrapText="1"/>
    </xf>
    <xf numFmtId="0" fontId="0" fillId="2" borderId="81" xfId="0" applyFill="1" applyBorder="1" applyAlignment="1">
      <alignment vertical="top" wrapText="1"/>
    </xf>
    <xf numFmtId="0" fontId="0" fillId="2" borderId="84" xfId="0" applyFill="1" applyBorder="1" applyAlignment="1">
      <alignment vertical="top" wrapText="1"/>
    </xf>
    <xf numFmtId="0" fontId="33" fillId="2" borderId="2" xfId="0" applyNumberFormat="1" applyFont="1" applyFill="1" applyBorder="1" applyAlignment="1">
      <alignment horizontal="center"/>
    </xf>
    <xf numFmtId="0" fontId="33" fillId="2" borderId="185" xfId="0" applyNumberFormat="1" applyFont="1" applyFill="1" applyBorder="1" applyAlignment="1">
      <alignment horizontal="center"/>
    </xf>
    <xf numFmtId="0" fontId="33" fillId="2" borderId="188" xfId="0" applyNumberFormat="1" applyFont="1" applyFill="1" applyBorder="1" applyAlignment="1">
      <alignment horizontal="center"/>
    </xf>
    <xf numFmtId="0" fontId="33" fillId="2" borderId="123" xfId="0" applyNumberFormat="1" applyFont="1" applyFill="1" applyBorder="1" applyAlignment="1">
      <alignment horizontal="center"/>
    </xf>
    <xf numFmtId="0" fontId="33" fillId="2" borderId="171" xfId="0" applyNumberFormat="1" applyFont="1" applyFill="1" applyBorder="1" applyAlignment="1">
      <alignment horizontal="center"/>
    </xf>
    <xf numFmtId="0" fontId="33" fillId="2" borderId="181" xfId="0" applyNumberFormat="1" applyFont="1" applyFill="1" applyBorder="1" applyAlignment="1">
      <alignment horizontal="center"/>
    </xf>
    <xf numFmtId="0" fontId="21" fillId="15" borderId="2" xfId="0" applyNumberFormat="1" applyFont="1" applyFill="1" applyBorder="1" applyAlignment="1">
      <alignment horizontal="center"/>
    </xf>
    <xf numFmtId="0" fontId="21" fillId="15" borderId="145" xfId="0" applyNumberFormat="1" applyFont="1" applyFill="1" applyBorder="1" applyAlignment="1">
      <alignment horizontal="center"/>
    </xf>
    <xf numFmtId="0" fontId="21" fillId="14" borderId="123" xfId="0" applyNumberFormat="1" applyFont="1" applyFill="1" applyBorder="1" applyAlignment="1">
      <alignment horizontal="center"/>
    </xf>
    <xf numFmtId="0" fontId="21" fillId="14" borderId="126" xfId="0" applyNumberFormat="1" applyFont="1" applyFill="1" applyBorder="1" applyAlignment="1">
      <alignment horizontal="center"/>
    </xf>
    <xf numFmtId="0" fontId="34" fillId="13" borderId="40" xfId="0" applyNumberFormat="1" applyFont="1" applyFill="1" applyBorder="1"/>
    <xf numFmtId="0" fontId="34" fillId="13" borderId="0" xfId="0" applyNumberFormat="1" applyFont="1" applyFill="1"/>
    <xf numFmtId="0" fontId="34" fillId="13" borderId="269" xfId="0" applyNumberFormat="1" applyFont="1" applyFill="1" applyBorder="1"/>
    <xf numFmtId="0" fontId="16" fillId="2" borderId="123" xfId="0" applyNumberFormat="1" applyFont="1" applyFill="1" applyBorder="1" applyAlignment="1">
      <alignment horizontal="center"/>
    </xf>
    <xf numFmtId="0" fontId="16" fillId="2" borderId="194" xfId="0" applyNumberFormat="1" applyFont="1" applyFill="1" applyBorder="1" applyAlignment="1">
      <alignment horizontal="center"/>
    </xf>
    <xf numFmtId="0" fontId="16" fillId="2" borderId="2" xfId="0" applyNumberFormat="1" applyFont="1" applyFill="1" applyBorder="1" applyAlignment="1">
      <alignment horizontal="center"/>
    </xf>
    <xf numFmtId="0" fontId="16" fillId="2" borderId="197" xfId="0" applyNumberFormat="1" applyFont="1" applyFill="1" applyBorder="1" applyAlignment="1">
      <alignment horizontal="center"/>
    </xf>
    <xf numFmtId="0" fontId="16" fillId="2" borderId="202" xfId="0" applyNumberFormat="1" applyFont="1" applyFill="1" applyBorder="1" applyAlignment="1">
      <alignment horizontal="center"/>
    </xf>
    <xf numFmtId="0" fontId="16" fillId="2" borderId="210" xfId="0" applyNumberFormat="1" applyFont="1" applyFill="1" applyBorder="1" applyAlignment="1">
      <alignment horizontal="center"/>
    </xf>
    <xf numFmtId="0" fontId="17" fillId="13" borderId="40" xfId="0" applyNumberFormat="1" applyFont="1" applyFill="1" applyBorder="1" applyAlignment="1">
      <alignment vertical="top"/>
    </xf>
    <xf numFmtId="0" fontId="17" fillId="13" borderId="0" xfId="0" applyNumberFormat="1" applyFont="1" applyFill="1" applyAlignment="1">
      <alignment vertical="top"/>
    </xf>
    <xf numFmtId="0" fontId="17" fillId="13" borderId="190" xfId="0" applyNumberFormat="1" applyFont="1" applyFill="1" applyBorder="1" applyAlignment="1">
      <alignment vertical="top"/>
    </xf>
    <xf numFmtId="0" fontId="31" fillId="12" borderId="40" xfId="0" applyNumberFormat="1" applyFont="1" applyFill="1" applyBorder="1" applyAlignment="1">
      <alignment wrapText="1"/>
    </xf>
    <xf numFmtId="0" fontId="31" fillId="12" borderId="0" xfId="0" applyNumberFormat="1" applyFont="1" applyFill="1" applyAlignment="1">
      <alignment wrapText="1"/>
    </xf>
    <xf numFmtId="0" fontId="31" fillId="12" borderId="162" xfId="0" applyNumberFormat="1" applyFont="1" applyFill="1" applyBorder="1" applyAlignment="1">
      <alignment wrapText="1"/>
    </xf>
    <xf numFmtId="0" fontId="30" fillId="8" borderId="142" xfId="0" applyNumberFormat="1" applyFont="1" applyFill="1" applyBorder="1" applyAlignment="1">
      <alignment vertical="top"/>
    </xf>
    <xf numFmtId="0" fontId="2" fillId="2" borderId="228" xfId="0" applyNumberFormat="1" applyFont="1" applyFill="1" applyBorder="1" applyAlignment="1">
      <alignment vertical="top" wrapText="1"/>
    </xf>
    <xf numFmtId="0" fontId="2" fillId="2" borderId="230" xfId="0" applyNumberFormat="1" applyFont="1" applyFill="1" applyBorder="1" applyAlignment="1">
      <alignment vertical="top" wrapText="1"/>
    </xf>
    <xf numFmtId="0" fontId="2" fillId="2" borderId="233" xfId="0" applyNumberFormat="1" applyFont="1" applyFill="1" applyBorder="1" applyAlignment="1">
      <alignment vertical="top" wrapText="1"/>
    </xf>
    <xf numFmtId="0" fontId="2" fillId="2" borderId="234" xfId="0" applyNumberFormat="1" applyFont="1" applyFill="1" applyBorder="1" applyAlignment="1">
      <alignment vertical="top" wrapText="1"/>
    </xf>
    <xf numFmtId="0" fontId="2" fillId="2" borderId="236" xfId="0" applyNumberFormat="1" applyFont="1" applyFill="1" applyBorder="1" applyAlignment="1">
      <alignment vertical="top" wrapText="1"/>
    </xf>
    <xf numFmtId="0" fontId="2" fillId="2" borderId="238" xfId="0" applyNumberFormat="1" applyFont="1" applyFill="1" applyBorder="1" applyAlignment="1">
      <alignment vertical="top" wrapText="1"/>
    </xf>
    <xf numFmtId="0" fontId="2" fillId="2" borderId="240" xfId="0" applyNumberFormat="1" applyFont="1" applyFill="1" applyBorder="1" applyAlignment="1">
      <alignment vertical="top" wrapText="1"/>
    </xf>
    <xf numFmtId="0" fontId="2" fillId="2" borderId="241" xfId="0" applyNumberFormat="1" applyFont="1" applyFill="1" applyBorder="1" applyAlignment="1">
      <alignment vertical="top" wrapText="1"/>
    </xf>
    <xf numFmtId="0" fontId="2" fillId="2" borderId="256" xfId="0" applyNumberFormat="1" applyFont="1" applyFill="1" applyBorder="1" applyAlignment="1">
      <alignment vertical="top" wrapText="1"/>
    </xf>
    <xf numFmtId="0" fontId="2" fillId="2" borderId="265" xfId="0" applyNumberFormat="1" applyFont="1" applyFill="1" applyBorder="1" applyAlignment="1">
      <alignment vertical="top" wrapText="1"/>
    </xf>
    <xf numFmtId="0" fontId="2" fillId="2" borderId="272" xfId="0" applyNumberFormat="1" applyFont="1" applyFill="1" applyBorder="1" applyAlignment="1">
      <alignment vertical="top" wrapText="1"/>
    </xf>
    <xf numFmtId="0" fontId="2" fillId="2" borderId="278" xfId="0" applyNumberFormat="1" applyFont="1" applyFill="1" applyBorder="1" applyAlignment="1">
      <alignment vertical="top" wrapText="1"/>
    </xf>
    <xf numFmtId="0" fontId="2" fillId="2" borderId="284" xfId="0" applyNumberFormat="1" applyFont="1" applyFill="1" applyBorder="1" applyAlignment="1">
      <alignment vertical="top" wrapText="1"/>
    </xf>
    <xf numFmtId="0" fontId="2" fillId="2" borderId="290" xfId="0" applyNumberFormat="1" applyFont="1" applyFill="1" applyBorder="1" applyAlignment="1">
      <alignment vertical="top" wrapText="1"/>
    </xf>
    <xf numFmtId="0" fontId="2" fillId="2" borderId="262" xfId="0" applyNumberFormat="1" applyFont="1" applyFill="1" applyBorder="1" applyAlignment="1">
      <alignment vertical="top" wrapText="1"/>
    </xf>
    <xf numFmtId="0" fontId="2" fillId="2" borderId="268" xfId="0" applyNumberFormat="1" applyFont="1" applyFill="1" applyBorder="1" applyAlignment="1">
      <alignment vertical="top" wrapText="1"/>
    </xf>
    <xf numFmtId="0" fontId="2" fillId="2" borderId="275" xfId="0" applyNumberFormat="1" applyFont="1" applyFill="1" applyBorder="1" applyAlignment="1">
      <alignment vertical="top" wrapText="1"/>
    </xf>
    <xf numFmtId="0" fontId="2" fillId="2" borderId="281" xfId="0" applyNumberFormat="1" applyFont="1" applyFill="1" applyBorder="1" applyAlignment="1">
      <alignment vertical="top" wrapText="1"/>
    </xf>
    <xf numFmtId="0" fontId="2" fillId="2" borderId="286" xfId="0" applyNumberFormat="1" applyFont="1" applyFill="1" applyBorder="1" applyAlignment="1">
      <alignment vertical="top" wrapText="1"/>
    </xf>
    <xf numFmtId="0" fontId="2" fillId="2" borderId="292" xfId="0" applyNumberFormat="1" applyFont="1" applyFill="1" applyBorder="1" applyAlignment="1">
      <alignment vertical="top" wrapText="1"/>
    </xf>
    <xf numFmtId="0" fontId="2" fillId="2" borderId="283" xfId="0" applyNumberFormat="1" applyFont="1" applyFill="1" applyBorder="1" applyAlignment="1">
      <alignment vertical="top" wrapText="1"/>
    </xf>
    <xf numFmtId="0" fontId="2" fillId="2" borderId="289" xfId="0" applyNumberFormat="1" applyFont="1" applyFill="1" applyBorder="1" applyAlignment="1">
      <alignment vertical="top" wrapText="1"/>
    </xf>
    <xf numFmtId="0" fontId="2" fillId="2" borderId="295" xfId="0" applyNumberFormat="1" applyFont="1" applyFill="1" applyBorder="1" applyAlignment="1">
      <alignment vertical="top" wrapText="1"/>
    </xf>
    <xf numFmtId="0" fontId="2" fillId="2" borderId="305" xfId="0" applyNumberFormat="1" applyFont="1" applyFill="1" applyBorder="1" applyAlignment="1">
      <alignment vertical="top" wrapText="1"/>
    </xf>
    <xf numFmtId="0" fontId="2" fillId="2" borderId="299" xfId="0" applyNumberFormat="1" applyFont="1" applyFill="1" applyBorder="1" applyAlignment="1">
      <alignment vertical="top" wrapText="1"/>
    </xf>
    <xf numFmtId="0" fontId="2" fillId="2" borderId="311" xfId="0" applyNumberFormat="1" applyFont="1" applyFill="1" applyBorder="1" applyAlignment="1">
      <alignment vertical="top" wrapText="1"/>
    </xf>
    <xf numFmtId="0" fontId="0" fillId="2" borderId="25" xfId="0" applyFill="1" applyBorder="1" applyAlignment="1">
      <alignment vertical="top" wrapText="1"/>
    </xf>
    <xf numFmtId="0" fontId="0" fillId="2" borderId="0" xfId="0" applyFill="1" applyAlignment="1">
      <alignment vertical="top" wrapText="1"/>
    </xf>
    <xf numFmtId="0" fontId="0" fillId="2" borderId="35" xfId="0" applyFill="1" applyBorder="1" applyAlignment="1">
      <alignment vertical="top" wrapText="1"/>
    </xf>
    <xf numFmtId="0" fontId="0" fillId="2" borderId="41" xfId="0" applyFill="1" applyBorder="1" applyAlignment="1">
      <alignment vertical="top" wrapText="1"/>
    </xf>
    <xf numFmtId="0" fontId="0" fillId="2" borderId="45" xfId="0" applyFill="1" applyBorder="1" applyAlignment="1">
      <alignment vertical="top" wrapText="1"/>
    </xf>
    <xf numFmtId="0" fontId="0" fillId="2" borderId="48" xfId="0" applyFill="1" applyBorder="1" applyAlignment="1">
      <alignment vertical="top" wrapText="1"/>
    </xf>
    <xf numFmtId="0" fontId="0" fillId="2" borderId="50" xfId="0" applyFill="1" applyBorder="1" applyAlignment="1">
      <alignment vertical="top" wrapText="1"/>
    </xf>
    <xf numFmtId="0" fontId="0" fillId="2" borderId="53" xfId="0" applyFill="1" applyBorder="1" applyAlignment="1">
      <alignment vertical="top" wrapText="1"/>
    </xf>
    <xf numFmtId="0" fontId="0" fillId="2" borderId="62" xfId="0" applyFill="1" applyBorder="1" applyAlignment="1">
      <alignment vertical="top" wrapText="1"/>
    </xf>
    <xf numFmtId="0" fontId="0" fillId="2" borderId="72" xfId="0" applyFill="1" applyBorder="1" applyAlignment="1">
      <alignment vertical="top" wrapText="1"/>
    </xf>
    <xf numFmtId="0" fontId="0" fillId="2" borderId="87" xfId="0" applyFill="1" applyBorder="1" applyAlignment="1">
      <alignment vertical="top" wrapText="1"/>
    </xf>
    <xf numFmtId="0" fontId="0" fillId="2" borderId="92" xfId="0" applyFill="1" applyBorder="1" applyAlignment="1">
      <alignment vertical="top" wrapText="1"/>
    </xf>
    <xf numFmtId="0" fontId="0" fillId="2" borderId="93" xfId="0" applyFill="1" applyBorder="1" applyAlignment="1">
      <alignment vertical="top" wrapText="1"/>
    </xf>
    <xf numFmtId="0" fontId="0" fillId="2" borderId="94" xfId="0" applyFill="1" applyBorder="1" applyAlignment="1">
      <alignment vertical="top" wrapText="1"/>
    </xf>
    <xf numFmtId="0" fontId="0" fillId="2" borderId="96" xfId="0" applyFill="1" applyBorder="1" applyAlignment="1">
      <alignment vertical="top" wrapText="1"/>
    </xf>
    <xf numFmtId="0" fontId="0" fillId="2" borderId="98" xfId="0" applyFill="1" applyBorder="1" applyAlignment="1">
      <alignment vertical="top" wrapText="1"/>
    </xf>
    <xf numFmtId="0" fontId="0" fillId="2" borderId="99" xfId="0" applyFill="1" applyBorder="1" applyAlignment="1">
      <alignment vertical="top" wrapText="1"/>
    </xf>
    <xf numFmtId="0" fontId="0" fillId="2" borderId="101" xfId="0" applyFill="1" applyBorder="1" applyAlignment="1">
      <alignment vertical="top" wrapText="1"/>
    </xf>
    <xf numFmtId="0" fontId="0" fillId="2" borderId="102" xfId="0" applyFill="1" applyBorder="1" applyAlignment="1">
      <alignment vertical="top" wrapText="1"/>
    </xf>
    <xf numFmtId="0" fontId="0" fillId="2" borderId="103" xfId="0" applyFill="1" applyBorder="1" applyAlignment="1">
      <alignment vertical="top" wrapText="1"/>
    </xf>
    <xf numFmtId="0" fontId="30" fillId="8" borderId="206" xfId="0" applyNumberFormat="1" applyFont="1" applyFill="1" applyBorder="1" applyAlignment="1">
      <alignment vertical="top"/>
    </xf>
    <xf numFmtId="0" fontId="32" fillId="12" borderId="157" xfId="0" applyNumberFormat="1" applyFont="1" applyFill="1" applyBorder="1" applyAlignment="1">
      <alignment horizontal="right"/>
    </xf>
    <xf numFmtId="0" fontId="32" fillId="12" borderId="160" xfId="0" applyNumberFormat="1" applyFont="1" applyFill="1" applyBorder="1" applyAlignment="1">
      <alignment horizontal="right"/>
    </xf>
    <xf numFmtId="0" fontId="32" fillId="12" borderId="163" xfId="0" applyNumberFormat="1" applyFont="1" applyFill="1" applyBorder="1" applyAlignment="1">
      <alignment horizontal="right"/>
    </xf>
    <xf numFmtId="0" fontId="32" fillId="12" borderId="167" xfId="0" applyNumberFormat="1" applyFont="1" applyFill="1" applyBorder="1" applyAlignment="1">
      <alignment horizontal="right"/>
    </xf>
    <xf numFmtId="0" fontId="32" fillId="12" borderId="175" xfId="0" applyNumberFormat="1" applyFont="1" applyFill="1" applyBorder="1" applyAlignment="1">
      <alignment horizontal="right"/>
    </xf>
    <xf numFmtId="0" fontId="32" fillId="12" borderId="177" xfId="0" applyNumberFormat="1" applyFont="1" applyFill="1" applyBorder="1" applyAlignment="1">
      <alignment horizontal="right"/>
    </xf>
    <xf numFmtId="0" fontId="32" fillId="12" borderId="178" xfId="0" applyNumberFormat="1" applyFont="1" applyFill="1" applyBorder="1" applyAlignment="1">
      <alignment horizontal="right"/>
    </xf>
    <xf numFmtId="0" fontId="32" fillId="12" borderId="180" xfId="0" applyNumberFormat="1" applyFont="1" applyFill="1" applyBorder="1" applyAlignment="1">
      <alignment horizontal="right"/>
    </xf>
    <xf numFmtId="0" fontId="32" fillId="12" borderId="182" xfId="0" applyNumberFormat="1" applyFont="1" applyFill="1" applyBorder="1" applyAlignment="1">
      <alignment horizontal="right"/>
    </xf>
    <xf numFmtId="0" fontId="2" fillId="2" borderId="55" xfId="0" applyNumberFormat="1" applyFont="1" applyFill="1" applyBorder="1" applyAlignment="1">
      <alignment vertical="top" wrapText="1"/>
    </xf>
    <xf numFmtId="0" fontId="2" fillId="2" borderId="57" xfId="0" applyNumberFormat="1" applyFont="1" applyFill="1" applyBorder="1" applyAlignment="1">
      <alignment vertical="top" wrapText="1"/>
    </xf>
    <xf numFmtId="0" fontId="2" fillId="2" borderId="58" xfId="0" applyNumberFormat="1" applyFont="1" applyFill="1" applyBorder="1" applyAlignment="1">
      <alignment vertical="top" wrapText="1"/>
    </xf>
    <xf numFmtId="0" fontId="2" fillId="2" borderId="59" xfId="0" applyNumberFormat="1" applyFont="1" applyFill="1" applyBorder="1" applyAlignment="1">
      <alignment vertical="top" wrapText="1"/>
    </xf>
    <xf numFmtId="0" fontId="2" fillId="2" borderId="60" xfId="0" applyNumberFormat="1" applyFont="1" applyFill="1" applyBorder="1" applyAlignment="1">
      <alignment vertical="top" wrapText="1"/>
    </xf>
    <xf numFmtId="0" fontId="2" fillId="2" borderId="61" xfId="0" applyNumberFormat="1" applyFont="1" applyFill="1" applyBorder="1" applyAlignment="1">
      <alignment vertical="top" wrapText="1"/>
    </xf>
    <xf numFmtId="0" fontId="2" fillId="2" borderId="63" xfId="0" applyNumberFormat="1" applyFont="1" applyFill="1" applyBorder="1" applyAlignment="1">
      <alignment vertical="top" wrapText="1"/>
    </xf>
    <xf numFmtId="0" fontId="2" fillId="2" borderId="65" xfId="0" applyNumberFormat="1" applyFont="1" applyFill="1" applyBorder="1" applyAlignment="1">
      <alignment vertical="top" wrapText="1"/>
    </xf>
    <xf numFmtId="0" fontId="2" fillId="2" borderId="79" xfId="0" applyNumberFormat="1" applyFont="1" applyFill="1" applyBorder="1" applyAlignment="1">
      <alignment vertical="top" wrapText="1"/>
    </xf>
    <xf numFmtId="0" fontId="2" fillId="2" borderId="88" xfId="0" applyNumberFormat="1" applyFont="1" applyFill="1" applyBorder="1" applyAlignment="1">
      <alignment vertical="top" wrapText="1"/>
    </xf>
    <xf numFmtId="0" fontId="2" fillId="2" borderId="95" xfId="0" applyNumberFormat="1" applyFont="1" applyFill="1" applyBorder="1" applyAlignment="1">
      <alignment vertical="top" wrapText="1"/>
    </xf>
    <xf numFmtId="0" fontId="2" fillId="2" borderId="104" xfId="0" applyNumberFormat="1" applyFont="1" applyFill="1" applyBorder="1" applyAlignment="1">
      <alignment vertical="top" wrapText="1"/>
    </xf>
    <xf numFmtId="0" fontId="2" fillId="2" borderId="109" xfId="0" applyNumberFormat="1" applyFont="1" applyFill="1" applyBorder="1" applyAlignment="1">
      <alignment vertical="top" wrapText="1"/>
    </xf>
    <xf numFmtId="0" fontId="2" fillId="2" borderId="119" xfId="0" applyNumberFormat="1" applyFont="1" applyFill="1" applyBorder="1" applyAlignment="1">
      <alignment vertical="top" wrapText="1"/>
    </xf>
    <xf numFmtId="0" fontId="2" fillId="2" borderId="124" xfId="0" applyNumberFormat="1" applyFont="1" applyFill="1" applyBorder="1" applyAlignment="1">
      <alignment vertical="top" wrapText="1"/>
    </xf>
    <xf numFmtId="0" fontId="2" fillId="2" borderId="125" xfId="0" applyNumberFormat="1" applyFont="1" applyFill="1" applyBorder="1" applyAlignment="1">
      <alignment vertical="top" wrapText="1"/>
    </xf>
    <xf numFmtId="0" fontId="2" fillId="2" borderId="127" xfId="0" applyNumberFormat="1" applyFont="1" applyFill="1" applyBorder="1" applyAlignment="1">
      <alignment vertical="top" wrapText="1"/>
    </xf>
    <xf numFmtId="0" fontId="2" fillId="2" borderId="130" xfId="0" applyNumberFormat="1" applyFont="1" applyFill="1" applyBorder="1" applyAlignment="1">
      <alignment vertical="top" wrapText="1"/>
    </xf>
    <xf numFmtId="0" fontId="2" fillId="2" borderId="131" xfId="0" applyNumberFormat="1" applyFont="1" applyFill="1" applyBorder="1" applyAlignment="1">
      <alignment vertical="top" wrapText="1"/>
    </xf>
    <xf numFmtId="0" fontId="2" fillId="2" borderId="132" xfId="0" applyNumberFormat="1" applyFont="1" applyFill="1" applyBorder="1" applyAlignment="1">
      <alignment vertical="top" wrapText="1"/>
    </xf>
    <xf numFmtId="0" fontId="2" fillId="2" borderId="135" xfId="0" applyNumberFormat="1" applyFont="1" applyFill="1" applyBorder="1" applyAlignment="1">
      <alignment vertical="top" wrapText="1"/>
    </xf>
    <xf numFmtId="0" fontId="2" fillId="2" borderId="136" xfId="0" applyNumberFormat="1" applyFont="1" applyFill="1" applyBorder="1" applyAlignment="1">
      <alignment vertical="top" wrapText="1"/>
    </xf>
    <xf numFmtId="0" fontId="2" fillId="2" borderId="137" xfId="0" applyNumberFormat="1" applyFont="1" applyFill="1" applyBorder="1" applyAlignment="1">
      <alignment vertical="top" wrapText="1"/>
    </xf>
    <xf numFmtId="0" fontId="17" fillId="13" borderId="40" xfId="0" applyNumberFormat="1" applyFont="1" applyFill="1" applyBorder="1"/>
    <xf numFmtId="0" fontId="17" fillId="13" borderId="0" xfId="0" applyNumberFormat="1" applyFont="1" applyFill="1"/>
    <xf numFmtId="0" fontId="17" fillId="13" borderId="43" xfId="0" applyNumberFormat="1" applyFont="1" applyFill="1" applyBorder="1"/>
    <xf numFmtId="0" fontId="32" fillId="12" borderId="237" xfId="0" applyNumberFormat="1" applyFont="1" applyFill="1" applyBorder="1" applyAlignment="1">
      <alignment horizontal="right"/>
    </xf>
    <xf numFmtId="0" fontId="32" fillId="12" borderId="239" xfId="0" applyNumberFormat="1" applyFont="1" applyFill="1" applyBorder="1" applyAlignment="1">
      <alignment horizontal="right"/>
    </xf>
    <xf numFmtId="0" fontId="32" fillId="12" borderId="242" xfId="0" applyNumberFormat="1" applyFont="1" applyFill="1" applyBorder="1" applyAlignment="1">
      <alignment horizontal="right"/>
    </xf>
    <xf numFmtId="0" fontId="32" fillId="12" borderId="244" xfId="0" applyNumberFormat="1" applyFont="1" applyFill="1" applyBorder="1" applyAlignment="1">
      <alignment horizontal="right"/>
    </xf>
    <xf numFmtId="0" fontId="32" fillId="12" borderId="246" xfId="0" applyNumberFormat="1" applyFont="1" applyFill="1" applyBorder="1" applyAlignment="1">
      <alignment horizontal="right"/>
    </xf>
    <xf numFmtId="0" fontId="32" fillId="12" borderId="249" xfId="0" applyNumberFormat="1" applyFont="1" applyFill="1" applyBorder="1" applyAlignment="1">
      <alignment horizontal="right"/>
    </xf>
    <xf numFmtId="0" fontId="32" fillId="12" borderId="252" xfId="0" applyNumberFormat="1" applyFont="1" applyFill="1" applyBorder="1" applyAlignment="1">
      <alignment horizontal="right"/>
    </xf>
    <xf numFmtId="0" fontId="32" fillId="12" borderId="254" xfId="0" applyNumberFormat="1" applyFont="1" applyFill="1" applyBorder="1" applyAlignment="1">
      <alignment horizontal="right"/>
    </xf>
    <xf numFmtId="0" fontId="2" fillId="2" borderId="213" xfId="0" applyNumberFormat="1" applyFont="1" applyFill="1" applyBorder="1" applyAlignment="1">
      <alignment vertical="top" wrapText="1"/>
    </xf>
    <xf numFmtId="0" fontId="2" fillId="2" borderId="214" xfId="0" applyNumberFormat="1" applyFont="1" applyFill="1" applyBorder="1" applyAlignment="1">
      <alignment vertical="top" wrapText="1"/>
    </xf>
    <xf numFmtId="0" fontId="2" fillId="2" borderId="215" xfId="0" applyNumberFormat="1" applyFont="1" applyFill="1" applyBorder="1" applyAlignment="1">
      <alignment vertical="top" wrapText="1"/>
    </xf>
    <xf numFmtId="0" fontId="2" fillId="2" borderId="216" xfId="0" applyNumberFormat="1" applyFont="1" applyFill="1" applyBorder="1" applyAlignment="1">
      <alignment vertical="top" wrapText="1"/>
    </xf>
    <xf numFmtId="0" fontId="2" fillId="2" borderId="217" xfId="0" applyNumberFormat="1" applyFont="1" applyFill="1" applyBorder="1" applyAlignment="1">
      <alignment vertical="top" wrapText="1"/>
    </xf>
    <xf numFmtId="0" fontId="2" fillId="2" borderId="219" xfId="0" applyNumberFormat="1" applyFont="1" applyFill="1" applyBorder="1" applyAlignment="1">
      <alignment vertical="top" wrapText="1"/>
    </xf>
    <xf numFmtId="0" fontId="2" fillId="2" borderId="220" xfId="0" applyNumberFormat="1" applyFont="1" applyFill="1" applyBorder="1" applyAlignment="1">
      <alignment vertical="top" wrapText="1"/>
    </xf>
    <xf numFmtId="0" fontId="2" fillId="2" borderId="223" xfId="0" applyNumberFormat="1" applyFont="1" applyFill="1" applyBorder="1" applyAlignment="1">
      <alignment vertical="top" wrapText="1"/>
    </xf>
    <xf numFmtId="0" fontId="2" fillId="2" borderId="235" xfId="0" applyNumberFormat="1" applyFont="1" applyFill="1" applyBorder="1" applyAlignment="1">
      <alignment vertical="top" wrapText="1"/>
    </xf>
    <xf numFmtId="0" fontId="2" fillId="2" borderId="248" xfId="0" applyNumberFormat="1" applyFont="1" applyFill="1" applyBorder="1" applyAlignment="1">
      <alignment vertical="top" wrapText="1"/>
    </xf>
    <xf numFmtId="0" fontId="2" fillId="2" borderId="251" xfId="0" applyNumberFormat="1" applyFont="1" applyFill="1" applyBorder="1" applyAlignment="1">
      <alignment vertical="top" wrapText="1"/>
    </xf>
    <xf numFmtId="0" fontId="2" fillId="2" borderId="264" xfId="0" applyNumberFormat="1" applyFont="1" applyFill="1" applyBorder="1" applyAlignment="1">
      <alignment vertical="top" wrapText="1"/>
    </xf>
    <xf numFmtId="0" fontId="2" fillId="2" borderId="271" xfId="0" applyNumberFormat="1" applyFont="1" applyFill="1" applyBorder="1" applyAlignment="1">
      <alignment vertical="top" wrapText="1"/>
    </xf>
    <xf numFmtId="0" fontId="2" fillId="2" borderId="277" xfId="0" applyNumberFormat="1" applyFont="1" applyFill="1" applyBorder="1" applyAlignment="1">
      <alignment vertical="top" wrapText="1"/>
    </xf>
    <xf numFmtId="0" fontId="0" fillId="2" borderId="196" xfId="0" applyFill="1" applyBorder="1" applyAlignment="1">
      <alignment vertical="top" wrapText="1"/>
    </xf>
    <xf numFmtId="0" fontId="0" fillId="2" borderId="198" xfId="0" applyFill="1" applyBorder="1" applyAlignment="1">
      <alignment vertical="top" wrapText="1"/>
    </xf>
    <xf numFmtId="0" fontId="0" fillId="2" borderId="199" xfId="0" applyFill="1" applyBorder="1" applyAlignment="1">
      <alignment vertical="top" wrapText="1"/>
    </xf>
    <xf numFmtId="0" fontId="0" fillId="2" borderId="201" xfId="0" applyFill="1" applyBorder="1" applyAlignment="1">
      <alignment vertical="top" wrapText="1"/>
    </xf>
    <xf numFmtId="0" fontId="0" fillId="2" borderId="203" xfId="0" applyFill="1" applyBorder="1" applyAlignment="1">
      <alignment vertical="top" wrapText="1"/>
    </xf>
    <xf numFmtId="0" fontId="0" fillId="2" borderId="207" xfId="0" applyFill="1" applyBorder="1" applyAlignment="1">
      <alignment vertical="top" wrapText="1"/>
    </xf>
    <xf numFmtId="0" fontId="0" fillId="2" borderId="208" xfId="0" applyFill="1" applyBorder="1" applyAlignment="1">
      <alignment vertical="top" wrapText="1"/>
    </xf>
    <xf numFmtId="0" fontId="0" fillId="2" borderId="209" xfId="0" applyFill="1" applyBorder="1" applyAlignment="1">
      <alignment vertical="top" wrapText="1"/>
    </xf>
    <xf numFmtId="0" fontId="0" fillId="2" borderId="211" xfId="0" applyFill="1" applyBorder="1" applyAlignment="1">
      <alignment vertical="top" wrapText="1"/>
    </xf>
    <xf numFmtId="0" fontId="2" fillId="2" borderId="69" xfId="0" applyNumberFormat="1" applyFont="1" applyFill="1" applyBorder="1" applyAlignment="1">
      <alignment vertical="top" wrapText="1"/>
    </xf>
    <xf numFmtId="0" fontId="2" fillId="2" borderId="71" xfId="0" applyNumberFormat="1" applyFont="1" applyFill="1" applyBorder="1" applyAlignment="1">
      <alignment vertical="top" wrapText="1"/>
    </xf>
    <xf numFmtId="0" fontId="2" fillId="2" borderId="74" xfId="0" applyNumberFormat="1" applyFont="1" applyFill="1" applyBorder="1" applyAlignment="1">
      <alignment vertical="top" wrapText="1"/>
    </xf>
    <xf numFmtId="0" fontId="2" fillId="2" borderId="76" xfId="0" applyNumberFormat="1" applyFont="1" applyFill="1" applyBorder="1" applyAlignment="1">
      <alignment vertical="top" wrapText="1"/>
    </xf>
    <xf numFmtId="0" fontId="2" fillId="2" borderId="78" xfId="0" applyNumberFormat="1" applyFont="1" applyFill="1" applyBorder="1" applyAlignment="1">
      <alignment vertical="top" wrapText="1"/>
    </xf>
    <xf numFmtId="0" fontId="2" fillId="2" borderId="80" xfId="0" applyNumberFormat="1" applyFont="1" applyFill="1" applyBorder="1" applyAlignment="1">
      <alignment vertical="top" wrapText="1"/>
    </xf>
    <xf numFmtId="0" fontId="2" fillId="2" borderId="83" xfId="0" applyNumberFormat="1" applyFont="1" applyFill="1" applyBorder="1" applyAlignment="1">
      <alignment vertical="top" wrapText="1"/>
    </xf>
    <xf numFmtId="0" fontId="2" fillId="2" borderId="85" xfId="0" applyNumberFormat="1" applyFont="1" applyFill="1" applyBorder="1" applyAlignment="1">
      <alignment vertical="top" wrapText="1"/>
    </xf>
    <xf numFmtId="0" fontId="2" fillId="2" borderId="86" xfId="0" applyNumberFormat="1" applyFont="1" applyFill="1" applyBorder="1" applyAlignment="1">
      <alignment vertical="top" wrapText="1"/>
    </xf>
    <xf numFmtId="0" fontId="2" fillId="2" borderId="91" xfId="0" applyNumberFormat="1" applyFont="1" applyFill="1" applyBorder="1" applyAlignment="1">
      <alignment vertical="top" wrapText="1"/>
    </xf>
    <xf numFmtId="0" fontId="2" fillId="2" borderId="100" xfId="0" applyNumberFormat="1" applyFont="1" applyFill="1" applyBorder="1" applyAlignment="1">
      <alignment vertical="top" wrapText="1"/>
    </xf>
    <xf numFmtId="0" fontId="2" fillId="2" borderId="106" xfId="0" applyNumberFormat="1" applyFont="1" applyFill="1" applyBorder="1" applyAlignment="1">
      <alignment vertical="top" wrapText="1"/>
    </xf>
    <xf numFmtId="0" fontId="2" fillId="2" borderId="115" xfId="0" applyNumberFormat="1" applyFont="1" applyFill="1" applyBorder="1" applyAlignment="1">
      <alignment vertical="top" wrapText="1"/>
    </xf>
    <xf numFmtId="0" fontId="2" fillId="2" borderId="121" xfId="0" applyNumberFormat="1" applyFont="1" applyFill="1" applyBorder="1" applyAlignment="1">
      <alignment vertical="top" wrapText="1"/>
    </xf>
    <xf numFmtId="0" fontId="2" fillId="2" borderId="128" xfId="0" applyNumberFormat="1" applyFont="1" applyFill="1" applyBorder="1" applyAlignment="1">
      <alignment vertical="top" wrapText="1"/>
    </xf>
    <xf numFmtId="0" fontId="2" fillId="2" borderId="139" xfId="0" applyNumberFormat="1" applyFont="1" applyFill="1" applyBorder="1" applyAlignment="1">
      <alignment vertical="top" wrapText="1"/>
    </xf>
    <xf numFmtId="0" fontId="2" fillId="2" borderId="149" xfId="0" applyNumberFormat="1" applyFont="1" applyFill="1" applyBorder="1" applyAlignment="1">
      <alignment vertical="top" wrapText="1"/>
    </xf>
    <xf numFmtId="0" fontId="2" fillId="2" borderId="154" xfId="0" applyNumberFormat="1" applyFont="1" applyFill="1" applyBorder="1" applyAlignment="1">
      <alignment vertical="top" wrapText="1"/>
    </xf>
    <xf numFmtId="0" fontId="2" fillId="2" borderId="168" xfId="0" applyNumberFormat="1" applyFont="1" applyFill="1" applyBorder="1" applyAlignment="1">
      <alignment vertical="top" wrapText="1"/>
    </xf>
    <xf numFmtId="0" fontId="2" fillId="2" borderId="179" xfId="0" applyNumberFormat="1" applyFont="1" applyFill="1" applyBorder="1" applyAlignment="1">
      <alignment vertical="top" wrapText="1"/>
    </xf>
    <xf numFmtId="0" fontId="2" fillId="2" borderId="186" xfId="0" applyNumberFormat="1" applyFont="1" applyFill="1" applyBorder="1" applyAlignment="1">
      <alignment vertical="top" wrapText="1"/>
    </xf>
    <xf numFmtId="0" fontId="2" fillId="2" borderId="165" xfId="0" applyNumberFormat="1" applyFont="1" applyFill="1" applyBorder="1" applyAlignment="1">
      <alignment vertical="top" wrapText="1"/>
    </xf>
    <xf numFmtId="0" fontId="2" fillId="2" borderId="176" xfId="0" applyNumberFormat="1" applyFont="1" applyFill="1" applyBorder="1" applyAlignment="1">
      <alignment vertical="top" wrapText="1"/>
    </xf>
    <xf numFmtId="0" fontId="2" fillId="2" borderId="184" xfId="0" applyNumberFormat="1" applyFont="1" applyFill="1" applyBorder="1" applyAlignment="1">
      <alignment vertical="top" wrapText="1"/>
    </xf>
    <xf numFmtId="0" fontId="2" fillId="2" borderId="189" xfId="0" applyNumberFormat="1" applyFont="1" applyFill="1" applyBorder="1" applyAlignment="1">
      <alignment vertical="top" wrapText="1"/>
    </xf>
    <xf numFmtId="0" fontId="2" fillId="2" borderId="192" xfId="0" applyNumberFormat="1" applyFont="1" applyFill="1" applyBorder="1" applyAlignment="1">
      <alignment vertical="top" wrapText="1"/>
    </xf>
    <xf numFmtId="0" fontId="2" fillId="2" borderId="195" xfId="0" applyNumberFormat="1" applyFont="1" applyFill="1" applyBorder="1" applyAlignment="1">
      <alignment vertical="top" wrapText="1"/>
    </xf>
    <xf numFmtId="0" fontId="2" fillId="2" borderId="205" xfId="0" applyNumberFormat="1" applyFont="1" applyFill="1" applyBorder="1" applyAlignment="1">
      <alignment vertical="top" wrapText="1"/>
    </xf>
    <xf numFmtId="0" fontId="2" fillId="2" borderId="212" xfId="0" applyNumberFormat="1" applyFont="1" applyFill="1" applyBorder="1" applyAlignment="1">
      <alignment vertical="top" wrapText="1"/>
    </xf>
    <xf numFmtId="0" fontId="2" fillId="2" borderId="221" xfId="0" applyNumberFormat="1" applyFont="1" applyFill="1" applyBorder="1" applyAlignment="1">
      <alignment vertical="top" wrapText="1"/>
    </xf>
    <xf numFmtId="0" fontId="2" fillId="2" borderId="231" xfId="0" applyNumberFormat="1" applyFont="1" applyFill="1" applyBorder="1" applyAlignment="1">
      <alignment vertical="top" wrapText="1"/>
    </xf>
    <xf numFmtId="0" fontId="2" fillId="2" borderId="243" xfId="0" applyNumberFormat="1" applyFont="1" applyFill="1" applyBorder="1" applyAlignment="1">
      <alignment vertical="top" wrapText="1"/>
    </xf>
    <xf numFmtId="0" fontId="2" fillId="2" borderId="258" xfId="0" applyNumberFormat="1" applyFont="1" applyFill="1" applyBorder="1" applyAlignment="1">
      <alignment vertical="top" wrapText="1"/>
    </xf>
    <xf numFmtId="0" fontId="2" fillId="2" borderId="266" xfId="0" applyNumberFormat="1" applyFont="1" applyFill="1" applyBorder="1" applyAlignment="1">
      <alignment vertical="top" wrapText="1"/>
    </xf>
    <xf numFmtId="0" fontId="2" fillId="2" borderId="273" xfId="0" applyNumberFormat="1" applyFont="1" applyFill="1" applyBorder="1" applyAlignment="1">
      <alignment vertical="top" wrapText="1"/>
    </xf>
    <xf numFmtId="0" fontId="2" fillId="2" borderId="279" xfId="0" applyNumberFormat="1" applyFont="1" applyFill="1" applyBorder="1" applyAlignment="1">
      <alignment vertical="top" wrapText="1"/>
    </xf>
    <xf numFmtId="0" fontId="2" fillId="2" borderId="285" xfId="0" applyNumberFormat="1" applyFont="1" applyFill="1" applyBorder="1" applyAlignment="1">
      <alignment vertical="top" wrapText="1"/>
    </xf>
    <xf numFmtId="0" fontId="2" fillId="2" borderId="291" xfId="0" applyNumberFormat="1" applyFont="1" applyFill="1" applyBorder="1" applyAlignment="1">
      <alignment vertical="top" wrapText="1"/>
    </xf>
    <xf numFmtId="0" fontId="2" fillId="2" borderId="296" xfId="0" applyNumberFormat="1" applyFont="1" applyFill="1" applyBorder="1" applyAlignment="1">
      <alignment vertical="top" wrapText="1"/>
    </xf>
    <xf numFmtId="0" fontId="2" fillId="2" borderId="307" xfId="0" applyNumberFormat="1" applyFont="1" applyFill="1" applyBorder="1" applyAlignment="1">
      <alignment vertical="top" wrapText="1"/>
    </xf>
    <xf numFmtId="0" fontId="2" fillId="2" borderId="313" xfId="0" applyNumberFormat="1" applyFont="1" applyFill="1" applyBorder="1" applyAlignment="1">
      <alignment vertical="top" wrapText="1"/>
    </xf>
    <xf numFmtId="0" fontId="2" fillId="2" borderId="316" xfId="0" applyNumberFormat="1" applyFont="1" applyFill="1" applyBorder="1" applyAlignment="1">
      <alignment vertical="top" wrapText="1"/>
    </xf>
    <xf numFmtId="0" fontId="2" fillId="2" borderId="318" xfId="0" applyNumberFormat="1" applyFont="1" applyFill="1" applyBorder="1" applyAlignment="1">
      <alignment vertical="top" wrapText="1"/>
    </xf>
    <xf numFmtId="0" fontId="0" fillId="2" borderId="27" xfId="0" applyFill="1" applyBorder="1" applyAlignment="1">
      <alignment vertical="top" wrapText="1"/>
    </xf>
    <xf numFmtId="0" fontId="0" fillId="2" borderId="39" xfId="0" applyFill="1" applyBorder="1" applyAlignment="1">
      <alignment vertical="top" wrapText="1"/>
    </xf>
    <xf numFmtId="0" fontId="0" fillId="2" borderId="42" xfId="0" applyFill="1" applyBorder="1" applyAlignment="1">
      <alignment vertical="top" wrapText="1"/>
    </xf>
    <xf numFmtId="0" fontId="0" fillId="2" borderId="46" xfId="0" applyFill="1" applyBorder="1" applyAlignment="1">
      <alignment vertical="top" wrapText="1"/>
    </xf>
    <xf numFmtId="0" fontId="0" fillId="2" borderId="49" xfId="0" applyFill="1" applyBorder="1" applyAlignment="1">
      <alignment vertical="top" wrapText="1"/>
    </xf>
    <xf numFmtId="0" fontId="0" fillId="2" borderId="52" xfId="0" applyFill="1" applyBorder="1" applyAlignment="1">
      <alignment vertical="top" wrapText="1"/>
    </xf>
    <xf numFmtId="0" fontId="0" fillId="2" borderId="56" xfId="0" applyFill="1" applyBorder="1" applyAlignment="1">
      <alignment vertical="top" wrapText="1"/>
    </xf>
    <xf numFmtId="0" fontId="0" fillId="2" borderId="67" xfId="0" applyFill="1" applyBorder="1" applyAlignment="1">
      <alignment vertical="top" wrapText="1"/>
    </xf>
    <xf numFmtId="0" fontId="2" fillId="2" borderId="82" xfId="0" applyNumberFormat="1" applyFont="1" applyFill="1" applyBorder="1" applyAlignment="1">
      <alignment vertical="top" wrapText="1"/>
    </xf>
    <xf numFmtId="0" fontId="2" fillId="2" borderId="89" xfId="0" applyNumberFormat="1" applyFont="1" applyFill="1" applyBorder="1" applyAlignment="1">
      <alignment vertical="top" wrapText="1"/>
    </xf>
    <xf numFmtId="0" fontId="2" fillId="2" borderId="97" xfId="0" applyNumberFormat="1" applyFont="1" applyFill="1" applyBorder="1" applyAlignment="1">
      <alignment vertical="top" wrapText="1"/>
    </xf>
    <xf numFmtId="0" fontId="2" fillId="2" borderId="105" xfId="0" applyNumberFormat="1" applyFont="1" applyFill="1" applyBorder="1" applyAlignment="1">
      <alignment vertical="top" wrapText="1"/>
    </xf>
    <xf numFmtId="0" fontId="2" fillId="2" borderId="111" xfId="0" applyNumberFormat="1" applyFont="1" applyFill="1" applyBorder="1" applyAlignment="1">
      <alignment vertical="top" wrapText="1"/>
    </xf>
    <xf numFmtId="0" fontId="2" fillId="2" borderId="120" xfId="0" applyNumberFormat="1" applyFont="1" applyFill="1" applyBorder="1" applyAlignment="1">
      <alignment vertical="top" wrapText="1"/>
    </xf>
    <xf numFmtId="0" fontId="2" fillId="2" borderId="122" xfId="0" applyNumberFormat="1" applyFont="1" applyFill="1" applyBorder="1" applyAlignment="1">
      <alignment vertical="top" wrapText="1"/>
    </xf>
    <xf numFmtId="0" fontId="2" fillId="2" borderId="134" xfId="0" applyNumberFormat="1" applyFont="1" applyFill="1" applyBorder="1" applyAlignment="1">
      <alignment vertical="top" wrapText="1"/>
    </xf>
    <xf numFmtId="0" fontId="2" fillId="2" borderId="138" xfId="0" applyNumberFormat="1" applyFont="1" applyFill="1" applyBorder="1" applyAlignment="1">
      <alignment vertical="top" wrapText="1"/>
    </xf>
    <xf numFmtId="0" fontId="2" fillId="2" borderId="141" xfId="0" applyNumberFormat="1" applyFont="1" applyFill="1" applyBorder="1" applyAlignment="1">
      <alignment vertical="top" wrapText="1"/>
    </xf>
    <xf numFmtId="0" fontId="2" fillId="2" borderId="143" xfId="0" applyNumberFormat="1" applyFont="1" applyFill="1" applyBorder="1" applyAlignment="1">
      <alignment vertical="top" wrapText="1"/>
    </xf>
    <xf numFmtId="0" fontId="2" fillId="2" borderId="144" xfId="0" applyNumberFormat="1" applyFont="1" applyFill="1" applyBorder="1" applyAlignment="1">
      <alignment vertical="top" wrapText="1"/>
    </xf>
    <xf numFmtId="0" fontId="2" fillId="2" borderId="146" xfId="0" applyNumberFormat="1" applyFont="1" applyFill="1" applyBorder="1" applyAlignment="1">
      <alignment vertical="top" wrapText="1"/>
    </xf>
    <xf numFmtId="0" fontId="2" fillId="2" borderId="147" xfId="0" applyNumberFormat="1" applyFont="1" applyFill="1" applyBorder="1" applyAlignment="1">
      <alignment vertical="top" wrapText="1"/>
    </xf>
    <xf numFmtId="0" fontId="2" fillId="2" borderId="148" xfId="0" applyNumberFormat="1" applyFont="1" applyFill="1" applyBorder="1" applyAlignment="1">
      <alignment vertical="top" wrapText="1"/>
    </xf>
    <xf numFmtId="0" fontId="2" fillId="2" borderId="150" xfId="0" applyNumberFormat="1" applyFont="1" applyFill="1" applyBorder="1" applyAlignment="1">
      <alignment vertical="top" wrapText="1"/>
    </xf>
    <xf numFmtId="0" fontId="2" fillId="2" borderId="153" xfId="0" applyNumberFormat="1" applyFont="1" applyFill="1" applyBorder="1" applyAlignment="1">
      <alignment vertical="top" wrapText="1"/>
    </xf>
    <xf numFmtId="0" fontId="30" fillId="8" borderId="51" xfId="0" applyNumberFormat="1" applyFont="1" applyFill="1" applyBorder="1" applyAlignment="1">
      <alignment vertical="top"/>
    </xf>
    <xf numFmtId="0" fontId="32" fillId="12" borderId="320" xfId="0" applyNumberFormat="1" applyFont="1" applyFill="1" applyBorder="1" applyAlignment="1">
      <alignment horizontal="right"/>
    </xf>
    <xf numFmtId="0" fontId="32" fillId="12" borderId="321" xfId="0" applyNumberFormat="1" applyFont="1" applyFill="1" applyBorder="1" applyAlignment="1">
      <alignment horizontal="right"/>
    </xf>
    <xf numFmtId="0" fontId="32" fillId="12" borderId="322" xfId="0" applyNumberFormat="1" applyFont="1" applyFill="1" applyBorder="1" applyAlignment="1">
      <alignment horizontal="right"/>
    </xf>
    <xf numFmtId="0" fontId="32" fillId="12" borderId="323" xfId="0" applyNumberFormat="1" applyFont="1" applyFill="1" applyBorder="1" applyAlignment="1">
      <alignment horizontal="right"/>
    </xf>
    <xf numFmtId="0" fontId="32" fillId="12" borderId="324" xfId="0" applyNumberFormat="1" applyFont="1" applyFill="1" applyBorder="1" applyAlignment="1">
      <alignment horizontal="right"/>
    </xf>
    <xf numFmtId="0" fontId="32" fillId="12" borderId="325" xfId="0" applyNumberFormat="1" applyFont="1" applyFill="1" applyBorder="1" applyAlignment="1">
      <alignment horizontal="right"/>
    </xf>
    <xf numFmtId="0" fontId="32" fillId="12" borderId="326" xfId="0" applyNumberFormat="1" applyFont="1" applyFill="1" applyBorder="1" applyAlignment="1">
      <alignment horizontal="right"/>
    </xf>
    <xf numFmtId="0" fontId="32" fillId="12" borderId="327" xfId="0" applyNumberFormat="1" applyFont="1" applyFill="1" applyBorder="1" applyAlignment="1">
      <alignment horizontal="right"/>
    </xf>
    <xf numFmtId="0" fontId="2" fillId="2" borderId="247" xfId="0" applyNumberFormat="1" applyFont="1" applyFill="1" applyBorder="1" applyAlignment="1">
      <alignment vertical="top" wrapText="1"/>
    </xf>
    <xf numFmtId="0" fontId="2" fillId="2" borderId="250" xfId="0" applyNumberFormat="1" applyFont="1" applyFill="1" applyBorder="1" applyAlignment="1">
      <alignment vertical="top" wrapText="1"/>
    </xf>
    <xf numFmtId="0" fontId="2" fillId="2" borderId="253" xfId="0" applyNumberFormat="1" applyFont="1" applyFill="1" applyBorder="1" applyAlignment="1">
      <alignment vertical="top" wrapText="1"/>
    </xf>
    <xf numFmtId="0" fontId="2" fillId="2" borderId="255" xfId="0" applyNumberFormat="1" applyFont="1" applyFill="1" applyBorder="1" applyAlignment="1">
      <alignment vertical="top" wrapText="1"/>
    </xf>
    <xf numFmtId="0" fontId="2" fillId="2" borderId="257" xfId="0" applyNumberFormat="1" applyFont="1" applyFill="1" applyBorder="1" applyAlignment="1">
      <alignment vertical="top" wrapText="1"/>
    </xf>
    <xf numFmtId="0" fontId="2" fillId="2" borderId="259" xfId="0" applyNumberFormat="1" applyFont="1" applyFill="1" applyBorder="1" applyAlignment="1">
      <alignment vertical="top" wrapText="1"/>
    </xf>
    <xf numFmtId="0" fontId="2" fillId="2" borderId="261" xfId="0" applyNumberFormat="1" applyFont="1" applyFill="1" applyBorder="1" applyAlignment="1">
      <alignment vertical="top" wrapText="1"/>
    </xf>
    <xf numFmtId="0" fontId="2" fillId="2" borderId="263" xfId="0" applyNumberFormat="1" applyFont="1" applyFill="1" applyBorder="1" applyAlignment="1">
      <alignment vertical="top" wrapText="1"/>
    </xf>
    <xf numFmtId="0" fontId="2" fillId="2" borderId="270" xfId="0" applyNumberFormat="1" applyFont="1" applyFill="1" applyBorder="1" applyAlignment="1">
      <alignment vertical="top" wrapText="1"/>
    </xf>
    <xf numFmtId="0" fontId="2" fillId="2" borderId="276" xfId="0" applyNumberFormat="1" applyFont="1" applyFill="1" applyBorder="1" applyAlignment="1">
      <alignment vertical="top" wrapText="1"/>
    </xf>
    <xf numFmtId="0" fontId="2" fillId="2" borderId="282" xfId="0" applyNumberFormat="1" applyFont="1" applyFill="1" applyBorder="1" applyAlignment="1">
      <alignment vertical="top" wrapText="1"/>
    </xf>
    <xf numFmtId="0" fontId="2" fillId="2" borderId="288" xfId="0" applyNumberFormat="1" applyFont="1" applyFill="1" applyBorder="1" applyAlignment="1">
      <alignment vertical="top" wrapText="1"/>
    </xf>
    <xf numFmtId="0" fontId="2" fillId="2" borderId="294" xfId="0" applyNumberFormat="1" applyFont="1" applyFill="1" applyBorder="1" applyAlignment="1">
      <alignment vertical="top" wrapText="1"/>
    </xf>
    <xf numFmtId="0" fontId="2" fillId="2" borderId="303" xfId="0" applyNumberFormat="1" applyFont="1" applyFill="1" applyBorder="1" applyAlignment="1">
      <alignment vertical="top" wrapText="1"/>
    </xf>
    <xf numFmtId="0" fontId="2" fillId="2" borderId="297" xfId="0" applyNumberFormat="1" applyFont="1" applyFill="1" applyBorder="1" applyAlignment="1">
      <alignment vertical="top" wrapText="1"/>
    </xf>
    <xf numFmtId="0" fontId="2" fillId="2" borderId="298" xfId="0" applyNumberFormat="1" applyFont="1" applyFill="1" applyBorder="1" applyAlignment="1">
      <alignment vertical="top" wrapText="1"/>
    </xf>
    <xf numFmtId="0" fontId="2" fillId="2" borderId="301" xfId="0" applyNumberFormat="1" applyFont="1" applyFill="1" applyBorder="1" applyAlignment="1">
      <alignment vertical="top" wrapText="1"/>
    </xf>
    <xf numFmtId="0" fontId="2" fillId="2" borderId="302" xfId="0" applyNumberFormat="1" applyFont="1" applyFill="1" applyBorder="1" applyAlignment="1">
      <alignment vertical="top" wrapText="1"/>
    </xf>
    <xf numFmtId="0" fontId="2" fillId="2" borderId="304" xfId="0" applyNumberFormat="1" applyFont="1" applyFill="1" applyBorder="1" applyAlignment="1">
      <alignment vertical="top" wrapText="1"/>
    </xf>
    <xf numFmtId="0" fontId="2" fillId="2" borderId="306" xfId="0" applyNumberFormat="1" applyFont="1" applyFill="1" applyBorder="1" applyAlignment="1">
      <alignment vertical="top" wrapText="1"/>
    </xf>
    <xf numFmtId="0" fontId="2" fillId="2" borderId="308" xfId="0" applyNumberFormat="1" applyFont="1" applyFill="1" applyBorder="1" applyAlignment="1">
      <alignment vertical="top" wrapText="1"/>
    </xf>
    <xf numFmtId="0" fontId="2" fillId="2" borderId="309" xfId="0" applyNumberFormat="1" applyFont="1" applyFill="1" applyBorder="1" applyAlignment="1">
      <alignment vertical="top" wrapText="1"/>
    </xf>
    <xf numFmtId="0" fontId="2" fillId="2" borderId="312" xfId="0" applyNumberFormat="1" applyFont="1" applyFill="1" applyBorder="1" applyAlignment="1">
      <alignment vertical="top" wrapText="1"/>
    </xf>
    <xf numFmtId="0" fontId="17" fillId="13" borderId="204" xfId="0" applyNumberFormat="1" applyFont="1" applyFill="1" applyBorder="1"/>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defPPr/>
            <a:lvl1pPr lvl="0">
              <a:defRPr sz="1700" b="0" i="0" strike="noStrike" cap="none" spc="0" baseline="0">
                <a:solidFill>
                  <a:srgbClr val="19252E"/>
                </a:solidFill>
                <a:latin typeface="+mn-lt"/>
                <a:ea typeface="+mn-ea"/>
                <a:cs typeface="+mn-cs"/>
              </a:defRPr>
            </a:lvl1pPr>
            <a:lvl2pPr lvl="1">
              <a:defRPr sz="1700" b="0" i="0" strike="noStrike" cap="none" spc="0" baseline="0">
                <a:solidFill>
                  <a:srgbClr val="19252E"/>
                </a:solidFill>
                <a:latin typeface="+mn-lt"/>
                <a:ea typeface="+mn-ea"/>
                <a:cs typeface="+mn-cs"/>
              </a:defRPr>
            </a:lvl2pPr>
            <a:lvl3pPr lvl="2">
              <a:defRPr sz="1700" b="0" i="0" strike="noStrike" cap="none" spc="0" baseline="0">
                <a:solidFill>
                  <a:srgbClr val="19252E"/>
                </a:solidFill>
                <a:latin typeface="+mn-lt"/>
                <a:ea typeface="+mn-ea"/>
                <a:cs typeface="+mn-cs"/>
              </a:defRPr>
            </a:lvl3pPr>
            <a:lvl4pPr lvl="3">
              <a:defRPr sz="1700" b="0" i="0" strike="noStrike" cap="none" spc="0" baseline="0">
                <a:solidFill>
                  <a:srgbClr val="19252E"/>
                </a:solidFill>
                <a:latin typeface="+mn-lt"/>
                <a:ea typeface="+mn-ea"/>
                <a:cs typeface="+mn-cs"/>
              </a:defRPr>
            </a:lvl4pPr>
            <a:lvl5pPr lvl="4">
              <a:defRPr sz="1700" b="0" i="0" strike="noStrike" cap="none" spc="0" baseline="0">
                <a:solidFill>
                  <a:srgbClr val="19252E"/>
                </a:solidFill>
                <a:latin typeface="+mn-lt"/>
                <a:ea typeface="+mn-ea"/>
                <a:cs typeface="+mn-cs"/>
              </a:defRPr>
            </a:lvl5pPr>
            <a:lvl6pPr lvl="5">
              <a:defRPr sz="1700" b="0" i="0" strike="noStrike" cap="none" spc="0" baseline="0">
                <a:solidFill>
                  <a:srgbClr val="19252E"/>
                </a:solidFill>
                <a:latin typeface="+mn-lt"/>
                <a:ea typeface="+mn-ea"/>
                <a:cs typeface="+mn-cs"/>
              </a:defRPr>
            </a:lvl6pPr>
            <a:lvl7pPr lvl="6">
              <a:defRPr sz="1700" b="0" i="0" strike="noStrike" cap="none" spc="0" baseline="0">
                <a:solidFill>
                  <a:srgbClr val="19252E"/>
                </a:solidFill>
                <a:latin typeface="+mn-lt"/>
                <a:ea typeface="+mn-ea"/>
                <a:cs typeface="+mn-cs"/>
              </a:defRPr>
            </a:lvl7pPr>
            <a:lvl8pPr lvl="7">
              <a:defRPr sz="1700" b="0" i="0" strike="noStrike" cap="none" spc="0" baseline="0">
                <a:solidFill>
                  <a:srgbClr val="19252E"/>
                </a:solidFill>
                <a:latin typeface="+mn-lt"/>
                <a:ea typeface="+mn-ea"/>
                <a:cs typeface="+mn-cs"/>
              </a:defRPr>
            </a:lvl8pPr>
            <a:lvl9pPr lvl="8">
              <a:defRPr sz="1700" b="0" i="0" strike="noStrike" cap="none" spc="0" baseline="0">
                <a:solidFill>
                  <a:srgbClr val="19252E"/>
                </a:solidFill>
                <a:latin typeface="+mn-lt"/>
                <a:ea typeface="+mn-ea"/>
                <a:cs typeface="+mn-cs"/>
              </a:defRPr>
            </a:lvl9pPr>
          </a:lstStyle>
          <a:p>
            <a:r>
              <a:rPr sz="1800" b="1" u="none" strike="noStrike">
                <a:solidFill>
                  <a:srgbClr val="000000"/>
                </a:solidFill>
                <a:latin typeface="Calibri"/>
                <a:ea typeface="Calibri"/>
                <a:cs typeface="Calibri"/>
              </a:rPr>
              <a:t>Профиль стилей человекоцентричного лидерства</a:t>
            </a:r>
            <a:endParaRPr sz="1300" b="0" u="none" strike="noStrike">
              <a:latin typeface="Arial"/>
              <a:ea typeface="Arial"/>
              <a:cs typeface="Arial"/>
            </a:endParaRPr>
          </a:p>
        </c:rich>
      </c:tx>
      <c:overlay val="0"/>
      <c:spPr>
        <a:noFill/>
        <a:ln w="0">
          <a:noFill/>
        </a:ln>
      </c:spPr>
    </c:title>
    <c:autoTitleDeleted val="0"/>
    <c:plotArea>
      <c:layout/>
      <c:pieChart>
        <c:varyColors val="1"/>
        <c:ser>
          <c:idx val="0"/>
          <c:order val="0"/>
          <c:tx>
            <c:strRef>
              <c:f>'4.Рекомендации по слаб стилю'!$K$1</c:f>
              <c:strCache>
                <c:ptCount val="1"/>
                <c:pt idx="0">
                  <c:v>Баллы</c:v>
                </c:pt>
              </c:strCache>
            </c:strRef>
          </c:tx>
          <c:spPr>
            <a:solidFill>
              <a:srgbClr val="5B9BD5"/>
            </a:solidFill>
            <a:ln w="0">
              <a:noFill/>
            </a:ln>
          </c:spPr>
          <c:dPt>
            <c:idx val="0"/>
            <c:bubble3D val="0"/>
            <c:spPr>
              <a:solidFill>
                <a:srgbClr val="E65100"/>
              </a:solidFill>
              <a:ln w="0">
                <a:noFill/>
              </a:ln>
            </c:spPr>
            <c:extLst>
              <c:ext xmlns:c16="http://schemas.microsoft.com/office/drawing/2014/chart" uri="{C3380CC4-5D6E-409C-BE32-E72D297353CC}">
                <c16:uniqueId val="{00000000-60C8-4255-900F-28725D2FC64D}"/>
              </c:ext>
            </c:extLst>
          </c:dPt>
          <c:dPt>
            <c:idx val="1"/>
            <c:bubble3D val="0"/>
            <c:spPr>
              <a:solidFill>
                <a:srgbClr val="6A1B9A"/>
              </a:solidFill>
              <a:ln w="0">
                <a:noFill/>
              </a:ln>
            </c:spPr>
            <c:extLst>
              <c:ext xmlns:c16="http://schemas.microsoft.com/office/drawing/2014/chart" uri="{C3380CC4-5D6E-409C-BE32-E72D297353CC}">
                <c16:uniqueId val="{00000001-60C8-4255-900F-28725D2FC64D}"/>
              </c:ext>
            </c:extLst>
          </c:dPt>
          <c:dPt>
            <c:idx val="2"/>
            <c:bubble3D val="0"/>
            <c:spPr>
              <a:solidFill>
                <a:srgbClr val="00897B"/>
              </a:solidFill>
              <a:ln w="0">
                <a:noFill/>
              </a:ln>
            </c:spPr>
            <c:extLst>
              <c:ext xmlns:c16="http://schemas.microsoft.com/office/drawing/2014/chart" uri="{C3380CC4-5D6E-409C-BE32-E72D297353CC}">
                <c16:uniqueId val="{00000002-60C8-4255-900F-28725D2FC64D}"/>
              </c:ext>
            </c:extLst>
          </c:dPt>
          <c:dPt>
            <c:idx val="3"/>
            <c:bubble3D val="0"/>
            <c:spPr>
              <a:solidFill>
                <a:srgbClr val="1565C0"/>
              </a:solidFill>
              <a:ln w="0">
                <a:noFill/>
              </a:ln>
            </c:spPr>
            <c:extLst>
              <c:ext xmlns:c16="http://schemas.microsoft.com/office/drawing/2014/chart" uri="{C3380CC4-5D6E-409C-BE32-E72D297353CC}">
                <c16:uniqueId val="{00000003-60C8-4255-900F-28725D2FC64D}"/>
              </c:ext>
            </c:extLst>
          </c:dPt>
          <c:cat>
            <c:strRef>
              <c:f>'4.Рекомендации по слаб стилю'!$J$2:$J$5</c:f>
              <c:strCache>
                <c:ptCount val="4"/>
                <c:pt idx="0">
                  <c:v>Целеустремленный</c:v>
                </c:pt>
                <c:pt idx="1">
                  <c:v>Вдохновляющий</c:v>
                </c:pt>
                <c:pt idx="2">
                  <c:v>Командный</c:v>
                </c:pt>
                <c:pt idx="3">
                  <c:v>Процессный</c:v>
                </c:pt>
              </c:strCache>
            </c:strRef>
          </c:cat>
          <c:val>
            <c:numRef>
              <c:f>'4.Рекомендации по слаб стилю'!$K$2:$K$5</c:f>
              <c:numCache>
                <c:formatCode>General</c:formatCode>
                <c:ptCount val="4"/>
                <c:pt idx="0">
                  <c:v>34</c:v>
                </c:pt>
                <c:pt idx="1">
                  <c:v>16</c:v>
                </c:pt>
                <c:pt idx="2">
                  <c:v>14</c:v>
                </c:pt>
                <c:pt idx="3">
                  <c:v>34</c:v>
                </c:pt>
              </c:numCache>
            </c:numRef>
          </c:val>
          <c:extLst>
            <c:ext xmlns:c16="http://schemas.microsoft.com/office/drawing/2014/chart" uri="{C3380CC4-5D6E-409C-BE32-E72D297353CC}">
              <c16:uniqueId val="{00000004-60C8-4255-900F-28725D2FC64D}"/>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200" b="0" i="0" u="none" strike="noStrike" cap="none" spc="0" baseline="0">
              <a:solidFill>
                <a:srgbClr val="19252E"/>
              </a:solidFill>
              <a:latin typeface="Calibri"/>
              <a:ea typeface="Calibri"/>
              <a:cs typeface="Calibri"/>
            </a:defRPr>
          </a:pPr>
          <a:endParaRPr lang="ru-RU"/>
        </a:p>
      </c:txPr>
    </c:legend>
    <c:plotVisOnly val="0"/>
    <c:dispBlanksAs val="zero"/>
    <c:showDLblsOverMax val="0"/>
  </c:chart>
  <c:spPr>
    <a:solidFill>
      <a:srgbClr val="FFFFFF"/>
    </a:solidFill>
    <a:ln w="9360">
      <a:solidFill>
        <a:srgbClr val="D9D9D9"/>
      </a:solidFill>
      <a:prstDash val="solid"/>
    </a:ln>
  </c:spPr>
  <c:txPr>
    <a:bodyPr/>
    <a:lstStyle/>
    <a:p>
      <a:pPr>
        <a:defRPr sz="1200" b="0" i="0" strike="noStrike" cap="none" spc="0" baseline="0">
          <a:solidFill>
            <a:srgbClr val="19252E"/>
          </a:solidFill>
          <a:latin typeface="+mn-lt"/>
          <a:ea typeface="+mn-ea"/>
          <a:cs typeface="+mn-cs"/>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defPPr/>
            <a:lvl1pPr lvl="0">
              <a:defRPr sz="1700" b="0" i="0" strike="noStrike" cap="none" spc="0" baseline="0">
                <a:solidFill>
                  <a:srgbClr val="19252E"/>
                </a:solidFill>
                <a:latin typeface="+mn-lt"/>
                <a:ea typeface="+mn-ea"/>
                <a:cs typeface="+mn-cs"/>
              </a:defRPr>
            </a:lvl1pPr>
            <a:lvl2pPr lvl="1">
              <a:defRPr sz="1700" b="0" i="0" strike="noStrike" cap="none" spc="0" baseline="0">
                <a:solidFill>
                  <a:srgbClr val="19252E"/>
                </a:solidFill>
                <a:latin typeface="+mn-lt"/>
                <a:ea typeface="+mn-ea"/>
                <a:cs typeface="+mn-cs"/>
              </a:defRPr>
            </a:lvl2pPr>
            <a:lvl3pPr lvl="2">
              <a:defRPr sz="1700" b="0" i="0" strike="noStrike" cap="none" spc="0" baseline="0">
                <a:solidFill>
                  <a:srgbClr val="19252E"/>
                </a:solidFill>
                <a:latin typeface="+mn-lt"/>
                <a:ea typeface="+mn-ea"/>
                <a:cs typeface="+mn-cs"/>
              </a:defRPr>
            </a:lvl3pPr>
            <a:lvl4pPr lvl="3">
              <a:defRPr sz="1700" b="0" i="0" strike="noStrike" cap="none" spc="0" baseline="0">
                <a:solidFill>
                  <a:srgbClr val="19252E"/>
                </a:solidFill>
                <a:latin typeface="+mn-lt"/>
                <a:ea typeface="+mn-ea"/>
                <a:cs typeface="+mn-cs"/>
              </a:defRPr>
            </a:lvl4pPr>
            <a:lvl5pPr lvl="4">
              <a:defRPr sz="1700" b="0" i="0" strike="noStrike" cap="none" spc="0" baseline="0">
                <a:solidFill>
                  <a:srgbClr val="19252E"/>
                </a:solidFill>
                <a:latin typeface="+mn-lt"/>
                <a:ea typeface="+mn-ea"/>
                <a:cs typeface="+mn-cs"/>
              </a:defRPr>
            </a:lvl5pPr>
            <a:lvl6pPr lvl="5">
              <a:defRPr sz="1700" b="0" i="0" strike="noStrike" cap="none" spc="0" baseline="0">
                <a:solidFill>
                  <a:srgbClr val="19252E"/>
                </a:solidFill>
                <a:latin typeface="+mn-lt"/>
                <a:ea typeface="+mn-ea"/>
                <a:cs typeface="+mn-cs"/>
              </a:defRPr>
            </a:lvl6pPr>
            <a:lvl7pPr lvl="6">
              <a:defRPr sz="1700" b="0" i="0" strike="noStrike" cap="none" spc="0" baseline="0">
                <a:solidFill>
                  <a:srgbClr val="19252E"/>
                </a:solidFill>
                <a:latin typeface="+mn-lt"/>
                <a:ea typeface="+mn-ea"/>
                <a:cs typeface="+mn-cs"/>
              </a:defRPr>
            </a:lvl7pPr>
            <a:lvl8pPr lvl="7">
              <a:defRPr sz="1700" b="0" i="0" strike="noStrike" cap="none" spc="0" baseline="0">
                <a:solidFill>
                  <a:srgbClr val="19252E"/>
                </a:solidFill>
                <a:latin typeface="+mn-lt"/>
                <a:ea typeface="+mn-ea"/>
                <a:cs typeface="+mn-cs"/>
              </a:defRPr>
            </a:lvl8pPr>
            <a:lvl9pPr lvl="8">
              <a:defRPr sz="1700" b="0" i="0" strike="noStrike" cap="none" spc="0" baseline="0">
                <a:solidFill>
                  <a:srgbClr val="19252E"/>
                </a:solidFill>
                <a:latin typeface="+mn-lt"/>
                <a:ea typeface="+mn-ea"/>
                <a:cs typeface="+mn-cs"/>
              </a:defRPr>
            </a:lvl9pPr>
          </a:lstStyle>
          <a:p>
            <a:r>
              <a:rPr lang="ru-RU" sz="1800" b="1" u="none" strike="noStrike">
                <a:solidFill>
                  <a:srgbClr val="000000"/>
                </a:solidFill>
                <a:latin typeface="Calibri"/>
                <a:ea typeface="Calibri"/>
                <a:cs typeface="Calibri"/>
              </a:rPr>
              <a:t>Доли стилей (%)</a:t>
            </a:r>
            <a:endParaRPr lang="ru-RU" sz="1300" b="0" u="none" strike="noStrike">
              <a:latin typeface="Arial"/>
              <a:ea typeface="Arial"/>
              <a:cs typeface="Arial"/>
            </a:endParaRPr>
          </a:p>
        </c:rich>
      </c:tx>
      <c:overlay val="0"/>
      <c:spPr>
        <a:noFill/>
        <a:ln w="0">
          <a:noFill/>
        </a:ln>
      </c:spPr>
    </c:title>
    <c:autoTitleDeleted val="0"/>
    <c:plotArea>
      <c:layout/>
      <c:pieChart>
        <c:varyColors val="1"/>
        <c:ser>
          <c:idx val="0"/>
          <c:order val="0"/>
          <c:tx>
            <c:strRef>
              <c:f>'4.Прототип отчета'!$O$1</c:f>
              <c:strCache>
                <c:ptCount val="1"/>
                <c:pt idx="0">
                  <c:v>Баллы</c:v>
                </c:pt>
              </c:strCache>
            </c:strRef>
          </c:tx>
          <c:spPr>
            <a:solidFill>
              <a:srgbClr val="5B9BD5"/>
            </a:solidFill>
            <a:ln w="0">
              <a:noFill/>
            </a:ln>
          </c:spPr>
          <c:dPt>
            <c:idx val="1"/>
            <c:bubble3D val="0"/>
            <c:spPr>
              <a:solidFill>
                <a:srgbClr val="ED7D31"/>
              </a:solidFill>
              <a:ln w="0">
                <a:noFill/>
              </a:ln>
            </c:spPr>
            <c:extLst>
              <c:ext xmlns:c16="http://schemas.microsoft.com/office/drawing/2014/chart" uri="{C3380CC4-5D6E-409C-BE32-E72D297353CC}">
                <c16:uniqueId val="{00000000-A47F-43BE-8FF0-E5F684144D98}"/>
              </c:ext>
            </c:extLst>
          </c:dPt>
          <c:dPt>
            <c:idx val="2"/>
            <c:bubble3D val="0"/>
            <c:spPr>
              <a:solidFill>
                <a:srgbClr val="A5A5A5"/>
              </a:solidFill>
              <a:ln w="0">
                <a:noFill/>
              </a:ln>
            </c:spPr>
            <c:extLst>
              <c:ext xmlns:c16="http://schemas.microsoft.com/office/drawing/2014/chart" uri="{C3380CC4-5D6E-409C-BE32-E72D297353CC}">
                <c16:uniqueId val="{00000001-A47F-43BE-8FF0-E5F684144D98}"/>
              </c:ext>
            </c:extLst>
          </c:dPt>
          <c:dPt>
            <c:idx val="3"/>
            <c:bubble3D val="0"/>
            <c:spPr>
              <a:solidFill>
                <a:srgbClr val="FFC000"/>
              </a:solidFill>
              <a:ln w="0">
                <a:noFill/>
              </a:ln>
            </c:spPr>
            <c:extLst>
              <c:ext xmlns:c16="http://schemas.microsoft.com/office/drawing/2014/chart" uri="{C3380CC4-5D6E-409C-BE32-E72D297353CC}">
                <c16:uniqueId val="{00000002-A47F-43BE-8FF0-E5F684144D98}"/>
              </c:ext>
            </c:extLst>
          </c:dPt>
          <c:cat>
            <c:strRef>
              <c:f>'4.Прототип отчета'!$N$2:$N$5</c:f>
              <c:strCache>
                <c:ptCount val="4"/>
                <c:pt idx="0">
                  <c:v>Целеустремленный</c:v>
                </c:pt>
                <c:pt idx="1">
                  <c:v>Вдохновляющий</c:v>
                </c:pt>
                <c:pt idx="2">
                  <c:v>Командный</c:v>
                </c:pt>
                <c:pt idx="3">
                  <c:v>Процессный</c:v>
                </c:pt>
              </c:strCache>
            </c:strRef>
          </c:cat>
          <c:val>
            <c:numRef>
              <c:f>'4.Прототип отчета'!$O$2:$O$5</c:f>
              <c:numCache>
                <c:formatCode>General</c:formatCode>
                <c:ptCount val="4"/>
                <c:pt idx="0">
                  <c:v>34</c:v>
                </c:pt>
                <c:pt idx="1">
                  <c:v>16</c:v>
                </c:pt>
                <c:pt idx="2">
                  <c:v>14</c:v>
                </c:pt>
                <c:pt idx="3">
                  <c:v>34</c:v>
                </c:pt>
              </c:numCache>
            </c:numRef>
          </c:val>
          <c:extLst>
            <c:ext xmlns:c16="http://schemas.microsoft.com/office/drawing/2014/chart" uri="{C3380CC4-5D6E-409C-BE32-E72D297353CC}">
              <c16:uniqueId val="{00000003-A47F-43BE-8FF0-E5F684144D98}"/>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200" b="0" i="0" u="none" strike="noStrike" cap="none" spc="0" baseline="0">
              <a:solidFill>
                <a:srgbClr val="19252E"/>
              </a:solidFill>
              <a:latin typeface="Calibri"/>
              <a:ea typeface="Calibri"/>
              <a:cs typeface="Calibri"/>
            </a:defRPr>
          </a:pPr>
          <a:endParaRPr lang="ru-RU"/>
        </a:p>
      </c:txPr>
    </c:legend>
    <c:plotVisOnly val="0"/>
    <c:dispBlanksAs val="zero"/>
    <c:showDLblsOverMax val="0"/>
  </c:chart>
  <c:spPr>
    <a:solidFill>
      <a:srgbClr val="FFFFFF"/>
    </a:solidFill>
    <a:ln w="9360">
      <a:solidFill>
        <a:srgbClr val="D9D9D9"/>
      </a:solidFill>
      <a:prstDash val="solid"/>
    </a:ln>
  </c:spPr>
  <c:txPr>
    <a:bodyPr/>
    <a:lstStyle/>
    <a:p>
      <a:pPr>
        <a:defRPr sz="1200" b="0" i="0" strike="noStrike" cap="none" spc="0" baseline="0">
          <a:solidFill>
            <a:srgbClr val="19252E"/>
          </a:solidFill>
          <a:latin typeface="+mn-lt"/>
          <a:ea typeface="+mn-ea"/>
          <a:cs typeface="+mn-cs"/>
        </a:defRPr>
      </a:pPr>
      <a:endParaRPr lang="ru-RU"/>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3972571" y="3326565"/>
    <xdr:ext cx="5781056" cy="3326504"/>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2197757" y="8111715"/>
    <xdr:ext cx="4934468" cy="2809425"/>
    <xdr:graphicFrame macro="">
      <xdr:nvGraphicFramePr>
        <xdr:cNvPr id="2" name="Chart 2">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gradFill>
        <a:gradFill>
          <a:gsLst>
            <a:gs pos="0">
              <a:schemeClr val="phClr">
                <a:lumMod val="102000"/>
                <a:tint val="94000"/>
              </a:schemeClr>
            </a:gs>
            <a:gs pos="50000">
              <a:schemeClr val="phClr">
                <a:lumMod val="100000"/>
                <a:shade val="100000"/>
              </a:schemeClr>
            </a:gs>
            <a:gs pos="100000">
              <a:schemeClr val="phClr">
                <a:lumMod val="99000"/>
                <a:shade val="78000"/>
              </a:schemeClr>
            </a:gs>
          </a:gsLst>
        </a:gradFill>
      </a:fillStyleLst>
      <a:lnStyleLst>
        <a:ln w="6350">
          <a:prstDash val="solid"/>
        </a:ln>
        <a:ln w="12700">
          <a:prstDash val="solid"/>
        </a:ln>
        <a:ln w="19050">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
  <sheetViews>
    <sheetView workbookViewId="0"/>
  </sheetViews>
  <sheetFormatPr defaultColWidth="9.109375" defaultRowHeight="14.25" customHeight="1" x14ac:dyDescent="0.3"/>
  <cols>
    <col min="1" max="1" width="4.109375" customWidth="1"/>
    <col min="2" max="2" width="122.33203125" customWidth="1"/>
    <col min="4" max="4" width="17.88671875" customWidth="1"/>
  </cols>
  <sheetData>
    <row r="1" spans="1:6" ht="60" customHeight="1" x14ac:dyDescent="0.3">
      <c r="B1" s="2" t="s">
        <v>2</v>
      </c>
    </row>
    <row r="2" spans="1:6" ht="48" customHeight="1" x14ac:dyDescent="0.3">
      <c r="B2" s="2" t="s">
        <v>7</v>
      </c>
    </row>
    <row r="3" spans="1:6" ht="50.25" customHeight="1" x14ac:dyDescent="0.3">
      <c r="B3" s="3" t="s">
        <v>27</v>
      </c>
    </row>
    <row r="4" spans="1:6" ht="54" customHeight="1" x14ac:dyDescent="0.3">
      <c r="B4" s="3" t="s">
        <v>37</v>
      </c>
    </row>
    <row r="5" spans="1:6" ht="14.4" x14ac:dyDescent="0.3">
      <c r="B5" s="1" t="s">
        <v>0</v>
      </c>
    </row>
    <row r="6" spans="1:6" ht="42.75" customHeight="1" x14ac:dyDescent="0.3">
      <c r="A6" t="s">
        <v>5</v>
      </c>
      <c r="B6" s="4" t="s">
        <v>8</v>
      </c>
      <c r="D6" s="3" t="s">
        <v>10</v>
      </c>
      <c r="E6" t="s">
        <v>12</v>
      </c>
    </row>
    <row r="7" spans="1:6" ht="14.4" x14ac:dyDescent="0.3">
      <c r="A7" t="s">
        <v>4</v>
      </c>
      <c r="D7" s="3"/>
    </row>
    <row r="8" spans="1:6" ht="14.4" x14ac:dyDescent="0.3">
      <c r="A8" t="s">
        <v>1</v>
      </c>
      <c r="D8" s="3"/>
    </row>
    <row r="9" spans="1:6" ht="14.4" x14ac:dyDescent="0.3">
      <c r="A9" t="s">
        <v>3</v>
      </c>
      <c r="D9" s="3"/>
    </row>
    <row r="10" spans="1:6" ht="14.4" x14ac:dyDescent="0.3">
      <c r="A10" t="s">
        <v>6</v>
      </c>
      <c r="D10" s="3"/>
    </row>
    <row r="11" spans="1:6" ht="42.75" customHeight="1" x14ac:dyDescent="0.3">
      <c r="A11" t="s">
        <v>11</v>
      </c>
      <c r="B11" s="4" t="s">
        <v>14</v>
      </c>
      <c r="D11" s="3" t="s">
        <v>17</v>
      </c>
    </row>
    <row r="12" spans="1:6" ht="14.4" x14ac:dyDescent="0.3">
      <c r="A12" t="s">
        <v>4</v>
      </c>
      <c r="D12" s="3"/>
    </row>
    <row r="13" spans="1:6" ht="14.4" x14ac:dyDescent="0.3">
      <c r="A13" t="s">
        <v>1</v>
      </c>
      <c r="D13" s="3"/>
    </row>
    <row r="14" spans="1:6" ht="14.4" x14ac:dyDescent="0.3">
      <c r="A14" t="s">
        <v>3</v>
      </c>
      <c r="D14" s="3"/>
    </row>
    <row r="15" spans="1:6" ht="14.4" x14ac:dyDescent="0.3">
      <c r="A15" t="s">
        <v>6</v>
      </c>
      <c r="D15" s="3"/>
      <c r="F15" s="3"/>
    </row>
    <row r="16" spans="1:6" ht="42.75" customHeight="1" x14ac:dyDescent="0.3">
      <c r="A16" t="s">
        <v>26</v>
      </c>
      <c r="B16" s="4" t="s">
        <v>28</v>
      </c>
      <c r="D16" s="3" t="s">
        <v>22</v>
      </c>
    </row>
    <row r="17" spans="1:4" ht="14.4" x14ac:dyDescent="0.3">
      <c r="A17" t="s">
        <v>4</v>
      </c>
      <c r="D17" s="3"/>
    </row>
    <row r="18" spans="1:4" ht="14.4" x14ac:dyDescent="0.3">
      <c r="A18" t="s">
        <v>1</v>
      </c>
      <c r="D18" s="3"/>
    </row>
    <row r="19" spans="1:4" ht="14.4" x14ac:dyDescent="0.3">
      <c r="A19" t="s">
        <v>3</v>
      </c>
      <c r="D19" s="3"/>
    </row>
    <row r="20" spans="1:4" ht="14.4" x14ac:dyDescent="0.3">
      <c r="A20" t="s">
        <v>6</v>
      </c>
      <c r="D20" s="3"/>
    </row>
    <row r="21" spans="1:4" ht="28.5" customHeight="1" x14ac:dyDescent="0.3">
      <c r="A21" t="s">
        <v>21</v>
      </c>
      <c r="B21" s="4" t="s">
        <v>24</v>
      </c>
      <c r="D21" s="3" t="s">
        <v>23</v>
      </c>
    </row>
    <row r="22" spans="1:4" ht="14.4" x14ac:dyDescent="0.3">
      <c r="A22" t="s">
        <v>4</v>
      </c>
      <c r="D22" s="3"/>
    </row>
    <row r="23" spans="1:4" ht="14.4" x14ac:dyDescent="0.3">
      <c r="A23" t="s">
        <v>1</v>
      </c>
      <c r="D23" s="3"/>
    </row>
    <row r="24" spans="1:4" ht="14.4" x14ac:dyDescent="0.3">
      <c r="A24" t="s">
        <v>3</v>
      </c>
      <c r="D24" s="3"/>
    </row>
    <row r="25" spans="1:4" ht="14.4" x14ac:dyDescent="0.3">
      <c r="A25" t="s">
        <v>6</v>
      </c>
      <c r="D25" s="3"/>
    </row>
    <row r="26" spans="1:4" ht="42.75" customHeight="1" x14ac:dyDescent="0.3">
      <c r="A26" t="s">
        <v>13</v>
      </c>
      <c r="B26" s="4" t="s">
        <v>18</v>
      </c>
      <c r="D26" s="3" t="s">
        <v>10</v>
      </c>
    </row>
    <row r="27" spans="1:4" ht="14.4" x14ac:dyDescent="0.3">
      <c r="A27" t="s">
        <v>4</v>
      </c>
      <c r="D27" s="3"/>
    </row>
    <row r="28" spans="1:4" ht="14.4" x14ac:dyDescent="0.3">
      <c r="A28" t="s">
        <v>1</v>
      </c>
      <c r="D28" s="3"/>
    </row>
    <row r="29" spans="1:4" ht="14.4" x14ac:dyDescent="0.3">
      <c r="A29" t="s">
        <v>3</v>
      </c>
      <c r="D29" s="3"/>
    </row>
    <row r="30" spans="1:4" ht="14.4" x14ac:dyDescent="0.3">
      <c r="A30" t="s">
        <v>6</v>
      </c>
      <c r="D30" s="3"/>
    </row>
    <row r="31" spans="1:4" ht="42.75" customHeight="1" x14ac:dyDescent="0.3">
      <c r="A31" t="s">
        <v>30</v>
      </c>
      <c r="B31" s="4" t="s">
        <v>32</v>
      </c>
      <c r="D31" s="3" t="s">
        <v>17</v>
      </c>
    </row>
    <row r="32" spans="1:4" ht="14.4" x14ac:dyDescent="0.3">
      <c r="A32" t="s">
        <v>4</v>
      </c>
      <c r="D32" s="3"/>
    </row>
    <row r="33" spans="1:4" ht="14.4" x14ac:dyDescent="0.3">
      <c r="A33" t="s">
        <v>1</v>
      </c>
      <c r="D33" s="3"/>
    </row>
    <row r="34" spans="1:4" ht="14.4" x14ac:dyDescent="0.3">
      <c r="A34" t="s">
        <v>3</v>
      </c>
      <c r="D34" s="3"/>
    </row>
    <row r="35" spans="1:4" ht="14.4" x14ac:dyDescent="0.3">
      <c r="A35" t="s">
        <v>6</v>
      </c>
      <c r="D35" s="3"/>
    </row>
    <row r="36" spans="1:4" ht="42.75" customHeight="1" x14ac:dyDescent="0.3">
      <c r="A36" t="s">
        <v>15</v>
      </c>
      <c r="B36" s="4" t="s">
        <v>19</v>
      </c>
      <c r="D36" s="3" t="s">
        <v>22</v>
      </c>
    </row>
    <row r="37" spans="1:4" ht="14.4" x14ac:dyDescent="0.3">
      <c r="A37" t="s">
        <v>4</v>
      </c>
      <c r="D37" s="3"/>
    </row>
    <row r="38" spans="1:4" ht="14.4" x14ac:dyDescent="0.3">
      <c r="A38" t="s">
        <v>1</v>
      </c>
      <c r="D38" s="3"/>
    </row>
    <row r="39" spans="1:4" ht="14.4" x14ac:dyDescent="0.3">
      <c r="A39" t="s">
        <v>3</v>
      </c>
      <c r="D39" s="3"/>
    </row>
    <row r="40" spans="1:4" ht="14.4" x14ac:dyDescent="0.3">
      <c r="A40" t="s">
        <v>6</v>
      </c>
      <c r="D40" s="3"/>
    </row>
    <row r="41" spans="1:4" ht="42.75" customHeight="1" x14ac:dyDescent="0.3">
      <c r="A41" t="s">
        <v>29</v>
      </c>
      <c r="B41" s="4" t="s">
        <v>31</v>
      </c>
      <c r="D41" s="3" t="s">
        <v>23</v>
      </c>
    </row>
    <row r="42" spans="1:4" ht="14.4" x14ac:dyDescent="0.3">
      <c r="A42" t="s">
        <v>4</v>
      </c>
      <c r="D42" s="3"/>
    </row>
    <row r="43" spans="1:4" ht="14.4" x14ac:dyDescent="0.3">
      <c r="A43" t="s">
        <v>1</v>
      </c>
      <c r="D43" s="3"/>
    </row>
    <row r="44" spans="1:4" ht="14.4" x14ac:dyDescent="0.3">
      <c r="A44" t="s">
        <v>3</v>
      </c>
    </row>
    <row r="45" spans="1:4" ht="14.4" x14ac:dyDescent="0.3">
      <c r="A45" t="s">
        <v>6</v>
      </c>
    </row>
    <row r="46" spans="1:4" ht="28.5" customHeight="1" x14ac:dyDescent="0.3">
      <c r="A46" t="s">
        <v>33</v>
      </c>
      <c r="B46" s="4" t="s">
        <v>34</v>
      </c>
      <c r="D46" s="3" t="s">
        <v>10</v>
      </c>
    </row>
    <row r="47" spans="1:4" ht="14.4" x14ac:dyDescent="0.3">
      <c r="A47" t="s">
        <v>4</v>
      </c>
    </row>
    <row r="48" spans="1:4" ht="14.4" x14ac:dyDescent="0.3">
      <c r="A48" t="s">
        <v>1</v>
      </c>
    </row>
    <row r="49" spans="1:4" ht="14.4" x14ac:dyDescent="0.3">
      <c r="A49" t="s">
        <v>3</v>
      </c>
    </row>
    <row r="50" spans="1:4" ht="14.4" x14ac:dyDescent="0.3">
      <c r="A50" t="s">
        <v>6</v>
      </c>
    </row>
    <row r="51" spans="1:4" ht="57" customHeight="1" x14ac:dyDescent="0.3">
      <c r="A51" t="s">
        <v>9</v>
      </c>
      <c r="B51" s="4" t="s">
        <v>25</v>
      </c>
      <c r="D51" s="3" t="s">
        <v>17</v>
      </c>
    </row>
    <row r="52" spans="1:4" ht="14.4" x14ac:dyDescent="0.3">
      <c r="A52" t="s">
        <v>4</v>
      </c>
    </row>
    <row r="53" spans="1:4" ht="14.4" x14ac:dyDescent="0.3">
      <c r="A53" t="s">
        <v>1</v>
      </c>
    </row>
    <row r="54" spans="1:4" ht="14.4" x14ac:dyDescent="0.3">
      <c r="A54" t="s">
        <v>3</v>
      </c>
    </row>
    <row r="55" spans="1:4" ht="14.4" x14ac:dyDescent="0.3">
      <c r="A55" t="s">
        <v>6</v>
      </c>
    </row>
    <row r="56" spans="1:4" ht="14.4" x14ac:dyDescent="0.3">
      <c r="A56" t="s">
        <v>35</v>
      </c>
      <c r="B56" t="s">
        <v>36</v>
      </c>
      <c r="D56" s="3" t="s">
        <v>22</v>
      </c>
    </row>
    <row r="57" spans="1:4" ht="14.4" x14ac:dyDescent="0.3">
      <c r="A57" t="s">
        <v>4</v>
      </c>
    </row>
    <row r="58" spans="1:4" ht="14.4" x14ac:dyDescent="0.3">
      <c r="A58" t="s">
        <v>1</v>
      </c>
    </row>
    <row r="59" spans="1:4" ht="14.4" x14ac:dyDescent="0.3">
      <c r="A59" t="s">
        <v>3</v>
      </c>
    </row>
    <row r="60" spans="1:4" ht="14.4" x14ac:dyDescent="0.3">
      <c r="A60" t="s">
        <v>6</v>
      </c>
    </row>
    <row r="61" spans="1:4" ht="42.75" customHeight="1" x14ac:dyDescent="0.3">
      <c r="A61" t="s">
        <v>16</v>
      </c>
      <c r="B61" s="4" t="s">
        <v>20</v>
      </c>
      <c r="D61" s="3" t="s">
        <v>23</v>
      </c>
    </row>
    <row r="62" spans="1:4" ht="14.4" x14ac:dyDescent="0.3">
      <c r="A62" t="s">
        <v>4</v>
      </c>
    </row>
    <row r="63" spans="1:4" ht="14.4" x14ac:dyDescent="0.3">
      <c r="A63" t="s">
        <v>1</v>
      </c>
    </row>
    <row r="64" spans="1:4" ht="14.4" x14ac:dyDescent="0.3">
      <c r="A64" t="s">
        <v>3</v>
      </c>
    </row>
    <row r="65" spans="1:1" ht="14.4" x14ac:dyDescent="0.3">
      <c r="A65" t="s">
        <v>6</v>
      </c>
    </row>
  </sheetData>
  <pageMargins left="0.70000004768371582" right="0.70000004768371582" top="0.75" bottom="0.75" header="0.5118110179901123" footer="0.5118110179901123"/>
  <pageSetup paperSize="9" fitToWidth="0"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257"/>
  <sheetViews>
    <sheetView topLeftCell="A58" workbookViewId="0">
      <selection activeCell="B39" sqref="B39"/>
    </sheetView>
  </sheetViews>
  <sheetFormatPr defaultColWidth="9.109375" defaultRowHeight="14.25" customHeight="1" x14ac:dyDescent="0.3"/>
  <cols>
    <col min="2" max="2" width="109.33203125" customWidth="1"/>
    <col min="3" max="3" width="22.33203125" customWidth="1"/>
    <col min="4" max="4" width="39.33203125" customWidth="1"/>
    <col min="5" max="5" width="27.33203125" customWidth="1"/>
    <col min="6" max="6" width="68.33203125" style="84" customWidth="1"/>
  </cols>
  <sheetData>
    <row r="1" spans="1:39" ht="336" customHeight="1" x14ac:dyDescent="0.3">
      <c r="A1" s="5"/>
      <c r="B1" s="12" t="s">
        <v>39</v>
      </c>
      <c r="C1" s="5"/>
      <c r="D1" s="14" t="s">
        <v>41</v>
      </c>
      <c r="E1" s="15" t="s">
        <v>42</v>
      </c>
      <c r="F1" s="80"/>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row>
    <row r="2" spans="1:39" ht="69" customHeight="1" x14ac:dyDescent="0.3">
      <c r="A2" s="5"/>
      <c r="B2" s="12" t="s">
        <v>196</v>
      </c>
      <c r="C2" s="5"/>
      <c r="D2" s="16" t="s">
        <v>43</v>
      </c>
      <c r="E2" s="17" t="s">
        <v>44</v>
      </c>
      <c r="F2" s="80"/>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row>
    <row r="3" spans="1:39" ht="78.75" customHeight="1" x14ac:dyDescent="0.3">
      <c r="A3" s="5"/>
      <c r="B3" s="12" t="s">
        <v>48</v>
      </c>
      <c r="C3" s="5"/>
      <c r="D3" s="5"/>
      <c r="E3" s="5"/>
      <c r="F3" s="80"/>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row>
    <row r="4" spans="1:39" ht="55.5" customHeight="1" x14ac:dyDescent="0.3">
      <c r="A4" s="5"/>
      <c r="B4" s="19"/>
      <c r="C4" s="5" t="s">
        <v>52</v>
      </c>
      <c r="D4" s="16"/>
      <c r="E4" s="5"/>
      <c r="F4" s="80"/>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row>
    <row r="5" spans="1:39" ht="57" customHeight="1" x14ac:dyDescent="0.3">
      <c r="A5" s="5"/>
      <c r="B5" s="22" t="s">
        <v>57</v>
      </c>
      <c r="C5" s="5"/>
      <c r="D5" s="24" t="s">
        <v>58</v>
      </c>
      <c r="E5" s="5"/>
      <c r="F5" s="80"/>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row>
    <row r="6" spans="1:39" ht="14.4" x14ac:dyDescent="0.3">
      <c r="A6" s="5"/>
      <c r="B6" s="5"/>
      <c r="C6" s="5"/>
      <c r="D6" s="5"/>
      <c r="E6" s="5"/>
      <c r="F6" s="80"/>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row>
    <row r="7" spans="1:39" ht="124.35" customHeight="1" x14ac:dyDescent="0.35">
      <c r="A7" s="29"/>
      <c r="B7" s="31" t="s">
        <v>0</v>
      </c>
      <c r="C7" s="72" t="s">
        <v>195</v>
      </c>
      <c r="D7" s="32" t="s">
        <v>66</v>
      </c>
      <c r="E7" s="33" t="s">
        <v>67</v>
      </c>
      <c r="F7" s="81"/>
      <c r="G7" s="5"/>
      <c r="H7" s="34"/>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row>
    <row r="8" spans="1:39" ht="28.5" customHeight="1" x14ac:dyDescent="0.3">
      <c r="B8" s="8" t="s">
        <v>69</v>
      </c>
      <c r="D8" s="27" t="s">
        <v>54</v>
      </c>
      <c r="E8" s="5"/>
      <c r="F8" s="80"/>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row>
    <row r="9" spans="1:39" ht="54.75" customHeight="1" x14ac:dyDescent="0.3">
      <c r="A9" s="36">
        <v>1</v>
      </c>
      <c r="B9" s="76" t="s">
        <v>215</v>
      </c>
      <c r="C9" s="37"/>
      <c r="D9" s="5" t="str">
        <f>IF(SUM(C10:C13)&gt;7, "Вы использовали все баллы", IF(SUM(C10:C13)&lt;7, "Вы использовали не все баллы", ""))</f>
        <v/>
      </c>
      <c r="E9" s="5"/>
      <c r="F9" s="81"/>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row>
    <row r="10" spans="1:39" ht="14.4" x14ac:dyDescent="0.3">
      <c r="A10" s="38" t="s">
        <v>4</v>
      </c>
      <c r="B10" s="39" t="s">
        <v>75</v>
      </c>
      <c r="C10" s="11">
        <v>3</v>
      </c>
      <c r="D10" s="32" t="str">
        <f>"Осталось: "&amp;7-SUM(C10:C13)&amp;" из 7"</f>
        <v>Осталось: 0 из 7</v>
      </c>
      <c r="E10" s="13" t="s">
        <v>45</v>
      </c>
      <c r="F10" s="80"/>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row>
    <row r="11" spans="1:39" ht="14.4" x14ac:dyDescent="0.3">
      <c r="A11" s="38" t="s">
        <v>1</v>
      </c>
      <c r="B11" s="40" t="s">
        <v>77</v>
      </c>
      <c r="C11" s="11">
        <v>1</v>
      </c>
      <c r="D11" s="5"/>
      <c r="E11" s="13" t="s">
        <v>47</v>
      </c>
      <c r="F11" s="80"/>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row>
    <row r="12" spans="1:39" ht="14.4" x14ac:dyDescent="0.3">
      <c r="A12" s="38" t="s">
        <v>3</v>
      </c>
      <c r="B12" s="40" t="s">
        <v>79</v>
      </c>
      <c r="C12" s="11">
        <v>1</v>
      </c>
      <c r="D12" s="5"/>
      <c r="E12" s="13" t="s">
        <v>51</v>
      </c>
      <c r="F12" s="80"/>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row>
    <row r="13" spans="1:39" ht="14.4" x14ac:dyDescent="0.3">
      <c r="A13" s="38" t="s">
        <v>6</v>
      </c>
      <c r="B13" s="40" t="s">
        <v>82</v>
      </c>
      <c r="C13" s="11">
        <v>2</v>
      </c>
      <c r="D13" s="5"/>
      <c r="E13" s="13" t="s">
        <v>40</v>
      </c>
      <c r="F13" s="80"/>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row>
    <row r="14" spans="1:39" ht="28.5" customHeight="1" x14ac:dyDescent="0.3">
      <c r="A14" s="5"/>
      <c r="B14" s="29" t="s">
        <v>83</v>
      </c>
      <c r="C14" s="5"/>
      <c r="D14" s="27" t="s">
        <v>54</v>
      </c>
      <c r="E14" s="5"/>
      <c r="F14" s="80"/>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row>
    <row r="15" spans="1:39" ht="14.4" x14ac:dyDescent="0.3">
      <c r="A15" s="7">
        <v>2</v>
      </c>
      <c r="B15" s="74" t="s">
        <v>214</v>
      </c>
      <c r="C15" s="41"/>
      <c r="D15" s="24" t="str">
        <f>IF(SUM(C16:C19)&gt;7, "Вы использовали все баллы", IF(SUM(C16:C19)&lt;7, "Вы использовали не все баллы", ""))</f>
        <v/>
      </c>
      <c r="E15" s="5"/>
      <c r="F15" s="81"/>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row>
    <row r="16" spans="1:39" ht="14.4" x14ac:dyDescent="0.3">
      <c r="A16" s="6" t="s">
        <v>4</v>
      </c>
      <c r="B16" s="40" t="s">
        <v>197</v>
      </c>
      <c r="C16" s="11">
        <v>5</v>
      </c>
      <c r="D16" s="18" t="str">
        <f>"Осталось: "&amp;7-SUM(C16:C19)&amp;" из 7"</f>
        <v>Осталось: 0 из 7</v>
      </c>
      <c r="E16" s="13" t="s">
        <v>40</v>
      </c>
      <c r="F16" s="82"/>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row>
    <row r="17" spans="1:39" ht="14.4" x14ac:dyDescent="0.3">
      <c r="A17" s="6" t="s">
        <v>1</v>
      </c>
      <c r="B17" s="40" t="s">
        <v>198</v>
      </c>
      <c r="C17" s="11"/>
      <c r="D17" s="5"/>
      <c r="E17" s="13" t="s">
        <v>45</v>
      </c>
      <c r="F17" s="82"/>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row>
    <row r="18" spans="1:39" ht="14.4" x14ac:dyDescent="0.3">
      <c r="A18" s="6" t="s">
        <v>3</v>
      </c>
      <c r="B18" s="40" t="s">
        <v>199</v>
      </c>
      <c r="C18" s="11"/>
      <c r="D18" s="5"/>
      <c r="E18" s="13" t="s">
        <v>47</v>
      </c>
      <c r="F18" s="82"/>
      <c r="G18" s="35" t="s">
        <v>70</v>
      </c>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row>
    <row r="19" spans="1:39" ht="14.4" x14ac:dyDescent="0.3">
      <c r="A19" s="6" t="s">
        <v>6</v>
      </c>
      <c r="B19" s="40" t="s">
        <v>90</v>
      </c>
      <c r="C19" s="11">
        <v>2</v>
      </c>
      <c r="D19" s="5"/>
      <c r="E19" s="13" t="s">
        <v>51</v>
      </c>
      <c r="F19" s="80"/>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row>
    <row r="20" spans="1:39" s="5" customFormat="1" ht="28.5" customHeight="1" x14ac:dyDescent="0.3">
      <c r="B20" s="30" t="s">
        <v>91</v>
      </c>
      <c r="D20" s="27" t="s">
        <v>54</v>
      </c>
      <c r="F20" s="80"/>
    </row>
    <row r="21" spans="1:39" ht="14.4" x14ac:dyDescent="0.3">
      <c r="A21" s="7">
        <v>3</v>
      </c>
      <c r="B21" s="42" t="s">
        <v>200</v>
      </c>
      <c r="C21" s="10"/>
      <c r="D21" s="5" t="str">
        <f>IF(SUM(C22:C25)&gt;7, "Вы использовали все баллы", IF(SUM(C22:C25)&lt;7, "Вы использовали не все баллы", ""))</f>
        <v/>
      </c>
      <c r="E21" s="5"/>
      <c r="F21" s="83"/>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row>
    <row r="22" spans="1:39" ht="14.4" x14ac:dyDescent="0.3">
      <c r="A22" s="6" t="s">
        <v>4</v>
      </c>
      <c r="B22" s="40" t="s">
        <v>201</v>
      </c>
      <c r="C22" s="11"/>
      <c r="D22" s="18" t="str">
        <f>"Осталось: "&amp;7-SUM(C22:C25)&amp;" из 7"</f>
        <v>Осталось: 0 из 7</v>
      </c>
      <c r="E22" s="13" t="s">
        <v>47</v>
      </c>
      <c r="F22" s="81"/>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row>
    <row r="23" spans="1:39" ht="14.4" x14ac:dyDescent="0.3">
      <c r="A23" s="6" t="s">
        <v>1</v>
      </c>
      <c r="B23" s="40" t="s">
        <v>95</v>
      </c>
      <c r="C23" s="11">
        <v>2</v>
      </c>
      <c r="D23" s="5"/>
      <c r="E23" s="13" t="s">
        <v>45</v>
      </c>
      <c r="F23" s="80"/>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row>
    <row r="24" spans="1:39" ht="14.4" x14ac:dyDescent="0.3">
      <c r="A24" s="6" t="s">
        <v>3</v>
      </c>
      <c r="B24" s="40" t="s">
        <v>96</v>
      </c>
      <c r="C24" s="11">
        <v>5</v>
      </c>
      <c r="D24" s="5"/>
      <c r="E24" s="13" t="s">
        <v>40</v>
      </c>
      <c r="F24" s="80"/>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row>
    <row r="25" spans="1:39" ht="14.4" x14ac:dyDescent="0.3">
      <c r="A25" s="6" t="s">
        <v>6</v>
      </c>
      <c r="B25" s="40" t="s">
        <v>99</v>
      </c>
      <c r="C25" s="11"/>
      <c r="D25" s="5"/>
      <c r="E25" s="13" t="s">
        <v>51</v>
      </c>
      <c r="F25" s="80"/>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row>
    <row r="26" spans="1:39" s="5" customFormat="1" ht="28.5" customHeight="1" x14ac:dyDescent="0.3">
      <c r="B26" s="30" t="s">
        <v>101</v>
      </c>
      <c r="D26" s="27" t="s">
        <v>54</v>
      </c>
      <c r="F26" s="80"/>
    </row>
    <row r="27" spans="1:39" ht="14.4" x14ac:dyDescent="0.3">
      <c r="A27" s="7">
        <v>4</v>
      </c>
      <c r="B27" s="74" t="s">
        <v>216</v>
      </c>
      <c r="C27" s="10"/>
      <c r="D27" s="5" t="str">
        <f>IF(SUM(C28:C31)&gt;7, "Вы использовали все баллы", IF(SUM(C28:C31)&lt;7, "Вы использовали не все баллы", ""))</f>
        <v/>
      </c>
      <c r="E27" s="5"/>
      <c r="F27" s="80"/>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row>
    <row r="28" spans="1:39" ht="14.4" x14ac:dyDescent="0.3">
      <c r="A28" s="6" t="s">
        <v>4</v>
      </c>
      <c r="B28" s="8" t="s">
        <v>103</v>
      </c>
      <c r="C28" s="11">
        <v>3</v>
      </c>
      <c r="D28" s="5" t="str">
        <f>"Осталось: "&amp;7-SUM(C28:C31)&amp;" из 7"</f>
        <v>Осталось: 0 из 7</v>
      </c>
      <c r="E28" s="13" t="s">
        <v>51</v>
      </c>
      <c r="F28" s="80"/>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row>
    <row r="29" spans="1:39" ht="14.4" x14ac:dyDescent="0.3">
      <c r="A29" s="6" t="s">
        <v>1</v>
      </c>
      <c r="B29" s="8" t="s">
        <v>105</v>
      </c>
      <c r="C29" s="11">
        <v>4</v>
      </c>
      <c r="D29" s="5"/>
      <c r="E29" s="13" t="s">
        <v>40</v>
      </c>
      <c r="F29" s="80"/>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row>
    <row r="30" spans="1:39" ht="14.4" x14ac:dyDescent="0.3">
      <c r="A30" s="6" t="s">
        <v>3</v>
      </c>
      <c r="B30" s="8" t="s">
        <v>107</v>
      </c>
      <c r="C30" s="11"/>
      <c r="D30" s="5"/>
      <c r="E30" s="13" t="s">
        <v>45</v>
      </c>
      <c r="F30" s="80"/>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row>
    <row r="31" spans="1:39" ht="14.4" x14ac:dyDescent="0.3">
      <c r="A31" s="6" t="s">
        <v>6</v>
      </c>
      <c r="B31" s="8" t="s">
        <v>109</v>
      </c>
      <c r="C31" s="11"/>
      <c r="D31" s="5"/>
      <c r="E31" s="13" t="s">
        <v>47</v>
      </c>
      <c r="F31" s="80"/>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row>
    <row r="32" spans="1:39" s="5" customFormat="1" ht="28.5" customHeight="1" x14ac:dyDescent="0.3">
      <c r="B32" s="30" t="s">
        <v>110</v>
      </c>
      <c r="D32" s="27" t="s">
        <v>54</v>
      </c>
      <c r="F32" s="80"/>
    </row>
    <row r="33" spans="1:39" ht="14.4" x14ac:dyDescent="0.3">
      <c r="A33" s="7">
        <v>5</v>
      </c>
      <c r="B33" s="9" t="s">
        <v>38</v>
      </c>
      <c r="C33" s="10"/>
      <c r="D33" s="5" t="str">
        <f>IF(SUM(C34:C37)&gt;7, "Вы использовали все баллы", IF(SUM(C34:C37)&lt;7, "Вы использовали не все баллы", ""))</f>
        <v/>
      </c>
      <c r="E33" s="5"/>
      <c r="F33" s="80"/>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row>
    <row r="34" spans="1:39" ht="14.4" x14ac:dyDescent="0.3">
      <c r="A34" s="6" t="s">
        <v>4</v>
      </c>
      <c r="B34" s="8" t="s">
        <v>46</v>
      </c>
      <c r="C34" s="11">
        <v>4</v>
      </c>
      <c r="D34" s="18" t="str">
        <f>"Осталось: "&amp;7-SUM(C34:C37)&amp;" из 7"</f>
        <v>Осталось: 0 из 7</v>
      </c>
      <c r="E34" s="13" t="s">
        <v>47</v>
      </c>
      <c r="F34" s="80"/>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row>
    <row r="35" spans="1:39" ht="14.4" x14ac:dyDescent="0.3">
      <c r="A35" s="6" t="s">
        <v>1</v>
      </c>
      <c r="B35" s="8" t="s">
        <v>50</v>
      </c>
      <c r="C35" s="11"/>
      <c r="D35" s="5"/>
      <c r="E35" s="13" t="s">
        <v>51</v>
      </c>
      <c r="F35" s="80"/>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row>
    <row r="36" spans="1:39" ht="14.4" x14ac:dyDescent="0.3">
      <c r="A36" s="6" t="s">
        <v>3</v>
      </c>
      <c r="B36" s="8" t="s">
        <v>55</v>
      </c>
      <c r="C36" s="11">
        <v>3</v>
      </c>
      <c r="D36" s="5"/>
      <c r="E36" s="13" t="s">
        <v>40</v>
      </c>
      <c r="F36" s="80"/>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row>
    <row r="37" spans="1:39" ht="14.4" x14ac:dyDescent="0.3">
      <c r="A37" s="6" t="s">
        <v>6</v>
      </c>
      <c r="B37" s="8" t="s">
        <v>62</v>
      </c>
      <c r="C37" s="11"/>
      <c r="D37" s="5"/>
      <c r="E37" s="13" t="s">
        <v>45</v>
      </c>
      <c r="F37" s="80"/>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row>
    <row r="38" spans="1:39" s="5" customFormat="1" ht="28.5" customHeight="1" x14ac:dyDescent="0.3">
      <c r="B38" s="30" t="s">
        <v>65</v>
      </c>
      <c r="D38" s="27" t="s">
        <v>54</v>
      </c>
      <c r="F38" s="80"/>
    </row>
    <row r="39" spans="1:39" ht="14.4" x14ac:dyDescent="0.3">
      <c r="A39" s="7">
        <v>6</v>
      </c>
      <c r="B39" s="74" t="s">
        <v>217</v>
      </c>
      <c r="C39" s="10"/>
      <c r="D39" s="5" t="str">
        <f>IF(SUM(C40:C43)&gt;7, "Вы использовали все баллы", IF(SUM(C40:C43)&lt;7, "Вы использовали не все баллы", ""))</f>
        <v/>
      </c>
      <c r="E39" s="5"/>
      <c r="F39" s="80"/>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row>
    <row r="40" spans="1:39" ht="14.4" x14ac:dyDescent="0.3">
      <c r="A40" s="6" t="s">
        <v>4</v>
      </c>
      <c r="B40" s="8" t="s">
        <v>71</v>
      </c>
      <c r="C40" s="11">
        <v>4</v>
      </c>
      <c r="D40" s="18" t="str">
        <f>"Осталось: "&amp;7-SUM(C40:C43)&amp;" из 7"</f>
        <v>Осталось: 0 из 7</v>
      </c>
      <c r="E40" s="13" t="s">
        <v>51</v>
      </c>
      <c r="F40" s="80"/>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row>
    <row r="41" spans="1:39" ht="14.4" x14ac:dyDescent="0.3">
      <c r="A41" s="6" t="s">
        <v>1</v>
      </c>
      <c r="B41" s="8" t="s">
        <v>74</v>
      </c>
      <c r="C41" s="11"/>
      <c r="D41" s="5"/>
      <c r="E41" s="13" t="s">
        <v>40</v>
      </c>
      <c r="F41" s="80"/>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row>
    <row r="42" spans="1:39" ht="14.4" x14ac:dyDescent="0.3">
      <c r="A42" s="6" t="s">
        <v>3</v>
      </c>
      <c r="B42" s="28" t="s">
        <v>202</v>
      </c>
      <c r="C42" s="11">
        <v>3</v>
      </c>
      <c r="D42" s="5"/>
      <c r="E42" s="13" t="s">
        <v>45</v>
      </c>
      <c r="F42" s="81"/>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row>
    <row r="43" spans="1:39" ht="14.4" x14ac:dyDescent="0.3">
      <c r="A43" s="6" t="s">
        <v>6</v>
      </c>
      <c r="B43" s="73" t="s">
        <v>203</v>
      </c>
      <c r="C43" s="11"/>
      <c r="D43" s="5"/>
      <c r="E43" s="13" t="s">
        <v>47</v>
      </c>
      <c r="F43" s="80"/>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row>
    <row r="44" spans="1:39" ht="28.5" customHeight="1" x14ac:dyDescent="0.3">
      <c r="B44" s="8" t="s">
        <v>80</v>
      </c>
      <c r="D44" s="4" t="s">
        <v>54</v>
      </c>
    </row>
    <row r="45" spans="1:39" ht="14.4" x14ac:dyDescent="0.3">
      <c r="A45" s="7">
        <v>7</v>
      </c>
      <c r="B45" s="9" t="s">
        <v>81</v>
      </c>
      <c r="C45" s="10"/>
      <c r="D45" s="5" t="str">
        <f>IF(SUM(C46:C49)&gt;7, "Вы использовали все баллы", IF(SUM(C46:C49)&lt;7, "Вы использовали не все баллы", ""))</f>
        <v/>
      </c>
      <c r="E45" s="5"/>
      <c r="F45" s="80"/>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row>
    <row r="46" spans="1:39" ht="14.4" x14ac:dyDescent="0.3">
      <c r="A46" s="6" t="s">
        <v>4</v>
      </c>
      <c r="B46" s="8" t="s">
        <v>204</v>
      </c>
      <c r="C46" s="11">
        <v>7</v>
      </c>
      <c r="D46" s="18" t="str">
        <f>"Осталось: "&amp;7-SUM(C46:C49)&amp;" из 7"</f>
        <v>Осталось: 0 из 7</v>
      </c>
      <c r="E46" s="13" t="s">
        <v>45</v>
      </c>
      <c r="F46" s="80"/>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row>
    <row r="47" spans="1:39" ht="14.4" x14ac:dyDescent="0.3">
      <c r="A47" s="6" t="s">
        <v>1</v>
      </c>
      <c r="B47" s="8" t="s">
        <v>84</v>
      </c>
      <c r="C47" s="11"/>
      <c r="D47" s="5"/>
      <c r="E47" s="13" t="s">
        <v>47</v>
      </c>
      <c r="F47" s="80"/>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row>
    <row r="48" spans="1:39" ht="14.4" x14ac:dyDescent="0.3">
      <c r="A48" s="6" t="s">
        <v>3</v>
      </c>
      <c r="B48" s="8" t="s">
        <v>85</v>
      </c>
      <c r="C48" s="11"/>
      <c r="D48" s="5"/>
      <c r="E48" s="13" t="s">
        <v>51</v>
      </c>
      <c r="F48" s="80"/>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row>
    <row r="49" spans="1:39" ht="14.4" x14ac:dyDescent="0.3">
      <c r="A49" s="6" t="s">
        <v>6</v>
      </c>
      <c r="B49" s="8" t="s">
        <v>87</v>
      </c>
      <c r="C49" s="11"/>
      <c r="D49" s="5"/>
      <c r="E49" s="13" t="s">
        <v>40</v>
      </c>
      <c r="F49" s="80"/>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row>
    <row r="50" spans="1:39" s="5" customFormat="1" ht="28.5" customHeight="1" x14ac:dyDescent="0.3">
      <c r="B50" s="29" t="s">
        <v>88</v>
      </c>
      <c r="D50" s="27" t="s">
        <v>54</v>
      </c>
      <c r="F50" s="80"/>
    </row>
    <row r="51" spans="1:39" ht="14.4" x14ac:dyDescent="0.3">
      <c r="A51" s="7">
        <v>8</v>
      </c>
      <c r="B51" s="77" t="s">
        <v>218</v>
      </c>
      <c r="C51" s="10"/>
      <c r="D51" s="5" t="str">
        <f>IF(SUM(C52:C55)&gt;7, "Вы использовали все баллы", IF(SUM(C52:C55)&lt;7, "Вы использовали не все баллы", ""))</f>
        <v/>
      </c>
      <c r="E51" s="5"/>
      <c r="F51" s="81"/>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row>
    <row r="52" spans="1:39" ht="14.4" x14ac:dyDescent="0.3">
      <c r="A52" s="6" t="s">
        <v>4</v>
      </c>
      <c r="B52" s="8" t="s">
        <v>205</v>
      </c>
      <c r="C52" s="11"/>
      <c r="D52" s="18" t="str">
        <f>"Осталось: "&amp;7-SUM(C52:C55)&amp;" из 7"</f>
        <v>Осталось: 0 из 7</v>
      </c>
      <c r="E52" s="13" t="s">
        <v>47</v>
      </c>
      <c r="F52" s="80"/>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row>
    <row r="53" spans="1:39" ht="14.4" x14ac:dyDescent="0.3">
      <c r="A53" s="6" t="s">
        <v>1</v>
      </c>
      <c r="B53" s="8" t="s">
        <v>206</v>
      </c>
      <c r="C53" s="11"/>
      <c r="D53" s="5"/>
      <c r="E53" s="13" t="s">
        <v>51</v>
      </c>
      <c r="F53" s="80"/>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row>
    <row r="54" spans="1:39" ht="14.4" x14ac:dyDescent="0.3">
      <c r="A54" s="6" t="s">
        <v>3</v>
      </c>
      <c r="B54" s="8" t="s">
        <v>207</v>
      </c>
      <c r="C54" s="11"/>
      <c r="D54" s="5"/>
      <c r="E54" s="13" t="s">
        <v>94</v>
      </c>
      <c r="F54" s="80"/>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row>
    <row r="55" spans="1:39" ht="14.4" x14ac:dyDescent="0.3">
      <c r="A55" s="6" t="s">
        <v>6</v>
      </c>
      <c r="B55" s="8" t="s">
        <v>208</v>
      </c>
      <c r="C55" s="11">
        <v>7</v>
      </c>
      <c r="D55" s="5"/>
      <c r="E55" s="13" t="s">
        <v>45</v>
      </c>
      <c r="F55" s="80"/>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row>
    <row r="56" spans="1:39" ht="28.5" customHeight="1" x14ac:dyDescent="0.3">
      <c r="B56" s="8" t="s">
        <v>97</v>
      </c>
      <c r="D56" s="4" t="s">
        <v>54</v>
      </c>
    </row>
    <row r="57" spans="1:39" ht="14.4" x14ac:dyDescent="0.3">
      <c r="A57" s="7">
        <v>9</v>
      </c>
      <c r="B57" s="9" t="s">
        <v>98</v>
      </c>
      <c r="C57" s="10"/>
      <c r="D57" s="5" t="str">
        <f>IF(SUM(C58:C61)&gt;7, "Вы использовали все баллы", IF(SUM(C58:C61)&lt;7, "Вы использовали не все баллы", ""))</f>
        <v/>
      </c>
      <c r="E57" s="5"/>
      <c r="F57" s="80"/>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row>
    <row r="58" spans="1:39" ht="14.4" x14ac:dyDescent="0.3">
      <c r="A58" s="6" t="s">
        <v>4</v>
      </c>
      <c r="B58" s="8" t="s">
        <v>100</v>
      </c>
      <c r="C58" s="11">
        <v>3</v>
      </c>
      <c r="D58" s="18" t="str">
        <f>"Осталось: "&amp;7-SUM(C58:C61)&amp;" из 7"</f>
        <v>Осталось: 0 из 7</v>
      </c>
      <c r="E58" s="13" t="s">
        <v>47</v>
      </c>
      <c r="F58" s="80"/>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row>
    <row r="59" spans="1:39" ht="14.4" x14ac:dyDescent="0.3">
      <c r="A59" s="6" t="s">
        <v>1</v>
      </c>
      <c r="B59" s="8" t="s">
        <v>102</v>
      </c>
      <c r="C59" s="11"/>
      <c r="D59" s="5"/>
      <c r="E59" s="13" t="s">
        <v>51</v>
      </c>
      <c r="F59" s="80"/>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row>
    <row r="60" spans="1:39" ht="14.4" x14ac:dyDescent="0.3">
      <c r="A60" s="6" t="s">
        <v>3</v>
      </c>
      <c r="B60" s="8" t="s">
        <v>104</v>
      </c>
      <c r="C60" s="11">
        <v>4</v>
      </c>
      <c r="D60" s="5"/>
      <c r="E60" s="13" t="s">
        <v>94</v>
      </c>
      <c r="F60" s="80"/>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row>
    <row r="61" spans="1:39" ht="14.4" x14ac:dyDescent="0.3">
      <c r="A61" s="6" t="s">
        <v>6</v>
      </c>
      <c r="B61" s="8" t="s">
        <v>106</v>
      </c>
      <c r="C61" s="11"/>
      <c r="D61" s="5"/>
      <c r="E61" s="13" t="s">
        <v>45</v>
      </c>
      <c r="F61" s="80"/>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row>
    <row r="62" spans="1:39" s="5" customFormat="1" ht="28.5" customHeight="1" x14ac:dyDescent="0.3">
      <c r="B62" s="30" t="s">
        <v>108</v>
      </c>
      <c r="D62" s="27" t="s">
        <v>54</v>
      </c>
      <c r="F62" s="80"/>
    </row>
    <row r="63" spans="1:39" ht="14.4" x14ac:dyDescent="0.3">
      <c r="A63" s="7">
        <v>10</v>
      </c>
      <c r="B63" s="9" t="s">
        <v>209</v>
      </c>
      <c r="C63" s="10"/>
      <c r="D63" s="5" t="str">
        <f>IF(SUM(C64:C67)&gt;7, "Вы использовали все баллы", IF(SUM(C64:C67)&lt;7, "Вы использовали не все баллы", ""))</f>
        <v/>
      </c>
      <c r="E63" s="5"/>
      <c r="F63" s="80"/>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row>
    <row r="64" spans="1:39" ht="14.4" x14ac:dyDescent="0.3">
      <c r="A64" s="6" t="s">
        <v>4</v>
      </c>
      <c r="B64" s="8" t="s">
        <v>210</v>
      </c>
      <c r="C64" s="11"/>
      <c r="D64" s="18" t="str">
        <f>"Осталось: "&amp;7-SUM(C64:C67)&amp;" из 7"</f>
        <v>Осталось: 0 из 7</v>
      </c>
      <c r="E64" s="13" t="s">
        <v>51</v>
      </c>
      <c r="F64" s="81"/>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row>
    <row r="65" spans="1:39" ht="14.4" x14ac:dyDescent="0.3">
      <c r="A65" s="6" t="s">
        <v>1</v>
      </c>
      <c r="B65" s="8" t="s">
        <v>212</v>
      </c>
      <c r="C65" s="11">
        <v>4</v>
      </c>
      <c r="D65" s="5"/>
      <c r="E65" s="13" t="s">
        <v>40</v>
      </c>
      <c r="F65" s="81"/>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row>
    <row r="66" spans="1:39" ht="14.4" x14ac:dyDescent="0.3">
      <c r="A66" s="6" t="s">
        <v>3</v>
      </c>
      <c r="B66" s="8" t="s">
        <v>211</v>
      </c>
      <c r="C66" s="11">
        <v>3</v>
      </c>
      <c r="D66" s="5"/>
      <c r="E66" s="13" t="s">
        <v>45</v>
      </c>
      <c r="F66" s="80"/>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row>
    <row r="67" spans="1:39" ht="14.4" x14ac:dyDescent="0.3">
      <c r="A67" s="6" t="s">
        <v>6</v>
      </c>
      <c r="B67" s="8" t="s">
        <v>49</v>
      </c>
      <c r="C67" s="11"/>
      <c r="D67" s="5"/>
      <c r="E67" s="13" t="s">
        <v>47</v>
      </c>
      <c r="F67" s="80"/>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row>
    <row r="68" spans="1:39" ht="28.5" customHeight="1" x14ac:dyDescent="0.3">
      <c r="B68" s="4" t="s">
        <v>53</v>
      </c>
      <c r="D68" s="4" t="s">
        <v>54</v>
      </c>
    </row>
    <row r="69" spans="1:39" ht="14.4" x14ac:dyDescent="0.3">
      <c r="A69" s="20">
        <v>11</v>
      </c>
      <c r="B69" s="78" t="s">
        <v>219</v>
      </c>
      <c r="C69" s="8"/>
      <c r="D69" t="str">
        <f>IF(SUM(C70:C73)&gt;7, "Вы использовали все баллы", IF(SUM(C70:C73)&lt;7, "Вы использовали не все баллы", ""))</f>
        <v/>
      </c>
      <c r="F69" s="85"/>
    </row>
    <row r="70" spans="1:39" ht="14.4" x14ac:dyDescent="0.3">
      <c r="A70" s="8" t="s">
        <v>4</v>
      </c>
      <c r="B70" s="8" t="s">
        <v>56</v>
      </c>
      <c r="C70" s="21">
        <v>2</v>
      </c>
      <c r="D70" s="23" t="str">
        <f>"Осталось: "&amp;7-SUM(C70:C73)&amp;" из 7"</f>
        <v>Осталось: 0 из 7</v>
      </c>
      <c r="E70" s="25" t="s">
        <v>45</v>
      </c>
    </row>
    <row r="71" spans="1:39" ht="14.4" x14ac:dyDescent="0.3">
      <c r="A71" s="8" t="s">
        <v>1</v>
      </c>
      <c r="B71" s="8" t="s">
        <v>59</v>
      </c>
      <c r="C71" s="21">
        <v>2</v>
      </c>
      <c r="E71" s="25" t="s">
        <v>47</v>
      </c>
    </row>
    <row r="72" spans="1:39" ht="28.8" x14ac:dyDescent="0.3">
      <c r="A72" s="8" t="s">
        <v>3</v>
      </c>
      <c r="B72" s="26" t="s">
        <v>60</v>
      </c>
      <c r="C72" s="21">
        <v>3</v>
      </c>
      <c r="E72" s="25" t="s">
        <v>51</v>
      </c>
    </row>
    <row r="73" spans="1:39" ht="14.4" x14ac:dyDescent="0.3">
      <c r="A73" s="8" t="s">
        <v>6</v>
      </c>
      <c r="B73" s="8" t="s">
        <v>61</v>
      </c>
      <c r="C73" s="21"/>
      <c r="E73" s="25" t="s">
        <v>40</v>
      </c>
    </row>
    <row r="74" spans="1:39" s="5" customFormat="1" ht="28.5" customHeight="1" x14ac:dyDescent="0.3">
      <c r="B74" s="27" t="s">
        <v>63</v>
      </c>
      <c r="D74" s="27" t="s">
        <v>54</v>
      </c>
      <c r="F74" s="80"/>
    </row>
    <row r="75" spans="1:39" ht="14.4" x14ac:dyDescent="0.3">
      <c r="A75" s="20">
        <v>12</v>
      </c>
      <c r="B75" s="78" t="s">
        <v>64</v>
      </c>
      <c r="C75" s="8"/>
      <c r="D75" s="5" t="str">
        <f>IF(SUM(C76:C79)&gt;7, "Вы использовали все баллы", IF(SUM(C76:C79)&lt;7, "Вы использовали не все баллы", ""))</f>
        <v/>
      </c>
      <c r="E75" s="5"/>
      <c r="F75" s="80"/>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row>
    <row r="76" spans="1:39" ht="14.4" x14ac:dyDescent="0.3">
      <c r="A76" s="8" t="s">
        <v>4</v>
      </c>
      <c r="B76" s="8" t="s">
        <v>68</v>
      </c>
      <c r="C76" s="21">
        <v>4</v>
      </c>
      <c r="D76" s="18" t="str">
        <f>"Осталось: "&amp;7-SUM(C76:C79)&amp;" из 7"</f>
        <v>Осталось: 0 из 7</v>
      </c>
      <c r="E76" s="13" t="s">
        <v>47</v>
      </c>
      <c r="F76" s="80"/>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row>
    <row r="77" spans="1:39" ht="14.4" x14ac:dyDescent="0.3">
      <c r="A77" s="8" t="s">
        <v>1</v>
      </c>
      <c r="B77" s="8" t="s">
        <v>72</v>
      </c>
      <c r="C77" s="21">
        <v>3</v>
      </c>
      <c r="D77" s="5"/>
      <c r="E77" s="13" t="s">
        <v>45</v>
      </c>
      <c r="F77" s="80"/>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row>
    <row r="78" spans="1:39" ht="14.4" x14ac:dyDescent="0.3">
      <c r="A78" s="8" t="s">
        <v>3</v>
      </c>
      <c r="B78" s="8" t="s">
        <v>73</v>
      </c>
      <c r="C78" s="21"/>
      <c r="D78" s="5"/>
      <c r="E78" s="13" t="s">
        <v>40</v>
      </c>
      <c r="F78" s="80"/>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row>
    <row r="79" spans="1:39" ht="14.4" x14ac:dyDescent="0.3">
      <c r="A79" s="8" t="s">
        <v>6</v>
      </c>
      <c r="B79" s="8" t="s">
        <v>76</v>
      </c>
      <c r="C79" s="21"/>
      <c r="D79" s="5"/>
      <c r="E79" s="13" t="s">
        <v>51</v>
      </c>
      <c r="F79" s="80"/>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row>
    <row r="80" spans="1:39" s="5" customFormat="1" ht="28.5" customHeight="1" x14ac:dyDescent="0.3">
      <c r="B80" s="27" t="s">
        <v>78</v>
      </c>
      <c r="D80" s="27" t="s">
        <v>54</v>
      </c>
      <c r="F80" s="80"/>
    </row>
    <row r="81" spans="1:39" ht="14.4" x14ac:dyDescent="0.3">
      <c r="A81" s="20">
        <v>13</v>
      </c>
      <c r="B81" s="79" t="s">
        <v>224</v>
      </c>
      <c r="C81" s="8"/>
      <c r="D81" s="5" t="str">
        <f>IF(SUM(C82:C85)&gt;7, "Вы использовали все баллы", IF(SUM(C82:C85)&lt;7, "Вы использовали не все баллы", ""))</f>
        <v/>
      </c>
      <c r="E81" s="5"/>
      <c r="F81" s="83"/>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row>
    <row r="82" spans="1:39" ht="14.4" x14ac:dyDescent="0.3">
      <c r="A82" s="8" t="s">
        <v>4</v>
      </c>
      <c r="B82" s="75" t="s">
        <v>225</v>
      </c>
      <c r="C82" s="21">
        <v>7</v>
      </c>
      <c r="D82" s="18" t="str">
        <f>"Осталось: "&amp;7-SUM(C82:C85)&amp;" из 7"</f>
        <v>Осталось: 0 из 7</v>
      </c>
      <c r="E82" s="13" t="s">
        <v>40</v>
      </c>
      <c r="F82" s="80"/>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row>
    <row r="83" spans="1:39" ht="14.4" x14ac:dyDescent="0.3">
      <c r="A83" s="8" t="s">
        <v>1</v>
      </c>
      <c r="B83" s="75" t="s">
        <v>220</v>
      </c>
      <c r="C83" s="21"/>
      <c r="D83" s="5"/>
      <c r="E83" s="13" t="s">
        <v>45</v>
      </c>
      <c r="F83" s="80"/>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row>
    <row r="84" spans="1:39" ht="14.4" x14ac:dyDescent="0.3">
      <c r="A84" s="8" t="s">
        <v>3</v>
      </c>
      <c r="B84" s="75" t="s">
        <v>222</v>
      </c>
      <c r="C84" s="21"/>
      <c r="D84" s="5"/>
      <c r="E84" s="13" t="s">
        <v>47</v>
      </c>
      <c r="F84" s="80"/>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row>
    <row r="85" spans="1:39" ht="14.4" x14ac:dyDescent="0.3">
      <c r="A85" s="8" t="s">
        <v>6</v>
      </c>
      <c r="B85" s="75" t="s">
        <v>223</v>
      </c>
      <c r="C85" s="21"/>
      <c r="D85" s="5"/>
      <c r="E85" s="13" t="s">
        <v>51</v>
      </c>
      <c r="F85" s="80"/>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row>
    <row r="86" spans="1:39" s="5" customFormat="1" ht="28.5" customHeight="1" x14ac:dyDescent="0.3">
      <c r="B86" s="5" t="s">
        <v>86</v>
      </c>
      <c r="D86" s="27" t="s">
        <v>54</v>
      </c>
      <c r="F86" s="80"/>
    </row>
    <row r="87" spans="1:39" ht="14.4" x14ac:dyDescent="0.3">
      <c r="A87" s="20">
        <v>14</v>
      </c>
      <c r="B87" s="74" t="s">
        <v>221</v>
      </c>
      <c r="C87" s="8"/>
      <c r="D87" s="5" t="str">
        <f>IF(SUM(C88:C91)&gt;7, "Вы использовали все баллы", IF(SUM(C88:C91)&lt;7, "Вы использовали не все баллы", ""))</f>
        <v/>
      </c>
      <c r="E87" s="5"/>
      <c r="F87" s="86"/>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row>
    <row r="88" spans="1:39" ht="14.4" x14ac:dyDescent="0.3">
      <c r="A88" s="8" t="s">
        <v>4</v>
      </c>
      <c r="B88" s="8" t="s">
        <v>89</v>
      </c>
      <c r="C88" s="21">
        <v>3</v>
      </c>
      <c r="D88" s="18" t="str">
        <f>"Осталось: "&amp;7-SUM(C88:C91)&amp;" из 7"</f>
        <v>Осталось: 0 из 7</v>
      </c>
      <c r="E88" s="13" t="s">
        <v>51</v>
      </c>
      <c r="F88" s="80"/>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row>
    <row r="89" spans="1:39" ht="14.4" x14ac:dyDescent="0.3">
      <c r="A89" s="8" t="s">
        <v>1</v>
      </c>
      <c r="B89" s="75" t="s">
        <v>213</v>
      </c>
      <c r="C89" s="21"/>
      <c r="D89" s="5"/>
      <c r="E89" s="13" t="s">
        <v>40</v>
      </c>
      <c r="F89" s="86"/>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row>
    <row r="90" spans="1:39" ht="14.4" x14ac:dyDescent="0.3">
      <c r="A90" s="8" t="s">
        <v>3</v>
      </c>
      <c r="B90" s="8" t="s">
        <v>92</v>
      </c>
      <c r="C90" s="21">
        <v>4</v>
      </c>
      <c r="D90" s="5"/>
      <c r="E90" s="13" t="s">
        <v>45</v>
      </c>
      <c r="F90" s="80"/>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row>
    <row r="91" spans="1:39" ht="14.4" x14ac:dyDescent="0.3">
      <c r="A91" s="8" t="s">
        <v>6</v>
      </c>
      <c r="B91" s="8" t="s">
        <v>93</v>
      </c>
      <c r="C91" s="21"/>
      <c r="D91" s="5"/>
      <c r="E91" s="13" t="s">
        <v>47</v>
      </c>
      <c r="F91" s="80"/>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row>
    <row r="92" spans="1:39" ht="14.4" x14ac:dyDescent="0.3">
      <c r="D92" s="5"/>
      <c r="E92" s="5"/>
      <c r="F92" s="80"/>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row>
    <row r="93" spans="1:39" ht="14.4" x14ac:dyDescent="0.3">
      <c r="D93" s="5"/>
      <c r="E93" s="5"/>
      <c r="F93" s="80"/>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row>
    <row r="94" spans="1:39" ht="14.4" x14ac:dyDescent="0.3">
      <c r="D94" s="5"/>
      <c r="E94" s="5"/>
      <c r="F94" s="80"/>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row>
    <row r="95" spans="1:39" ht="14.4" x14ac:dyDescent="0.3">
      <c r="D95" s="5"/>
      <c r="E95" s="5"/>
      <c r="F95" s="80"/>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row>
    <row r="96" spans="1:39" ht="14.4" x14ac:dyDescent="0.3">
      <c r="D96" s="5"/>
      <c r="E96" s="5"/>
      <c r="F96" s="80"/>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row>
    <row r="97" spans="4:39" ht="14.4" x14ac:dyDescent="0.3">
      <c r="D97" s="5"/>
      <c r="E97" s="5"/>
      <c r="F97" s="80"/>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row>
    <row r="98" spans="4:39" ht="14.4" x14ac:dyDescent="0.3">
      <c r="D98" s="5"/>
      <c r="E98" s="5"/>
      <c r="F98" s="80"/>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row>
    <row r="99" spans="4:39" ht="14.4" x14ac:dyDescent="0.3">
      <c r="D99" s="5"/>
      <c r="E99" s="5"/>
      <c r="F99" s="80"/>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row>
    <row r="100" spans="4:39" ht="14.4" x14ac:dyDescent="0.3">
      <c r="D100" s="5"/>
      <c r="E100" s="5"/>
      <c r="F100" s="80"/>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row>
    <row r="101" spans="4:39" ht="14.4" x14ac:dyDescent="0.3">
      <c r="D101" s="5"/>
      <c r="E101" s="5"/>
      <c r="F101" s="80"/>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row>
    <row r="102" spans="4:39" ht="14.4" x14ac:dyDescent="0.3">
      <c r="D102" s="5"/>
      <c r="E102" s="5"/>
      <c r="F102" s="80"/>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row>
    <row r="103" spans="4:39" ht="14.4" x14ac:dyDescent="0.3">
      <c r="D103" s="5"/>
      <c r="E103" s="5"/>
      <c r="F103" s="80"/>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row>
    <row r="104" spans="4:39" ht="14.4" x14ac:dyDescent="0.3">
      <c r="D104" s="5"/>
      <c r="E104" s="5"/>
      <c r="F104" s="80"/>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row>
    <row r="105" spans="4:39" ht="14.4" x14ac:dyDescent="0.3">
      <c r="D105" s="5"/>
      <c r="E105" s="5"/>
      <c r="F105" s="80"/>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row>
    <row r="106" spans="4:39" ht="14.4" x14ac:dyDescent="0.3">
      <c r="D106" s="5"/>
      <c r="E106" s="5"/>
      <c r="F106" s="80"/>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row>
    <row r="107" spans="4:39" ht="14.4" x14ac:dyDescent="0.3">
      <c r="D107" s="5"/>
      <c r="E107" s="5"/>
      <c r="F107" s="80"/>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row>
    <row r="108" spans="4:39" ht="14.4" x14ac:dyDescent="0.3">
      <c r="D108" s="5"/>
      <c r="E108" s="5"/>
      <c r="F108" s="80"/>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row>
    <row r="109" spans="4:39" ht="14.4" x14ac:dyDescent="0.3">
      <c r="D109" s="5"/>
      <c r="E109" s="5"/>
      <c r="F109" s="80"/>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row>
    <row r="110" spans="4:39" ht="14.4" x14ac:dyDescent="0.3">
      <c r="D110" s="5"/>
      <c r="E110" s="5"/>
      <c r="F110" s="80"/>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row>
    <row r="111" spans="4:39" ht="14.4" x14ac:dyDescent="0.3">
      <c r="D111" s="5"/>
      <c r="E111" s="5"/>
      <c r="F111" s="80"/>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row>
    <row r="112" spans="4:39" ht="14.4" x14ac:dyDescent="0.3">
      <c r="D112" s="5"/>
      <c r="E112" s="5"/>
      <c r="F112" s="80"/>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row>
    <row r="113" spans="4:39" ht="14.4" x14ac:dyDescent="0.3">
      <c r="D113" s="5"/>
      <c r="E113" s="5"/>
      <c r="F113" s="80"/>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row>
    <row r="114" spans="4:39" ht="14.4" x14ac:dyDescent="0.3">
      <c r="D114" s="5"/>
      <c r="E114" s="5"/>
      <c r="F114" s="80"/>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row>
    <row r="115" spans="4:39" ht="14.4" x14ac:dyDescent="0.3">
      <c r="D115" s="5"/>
      <c r="E115" s="5"/>
      <c r="F115" s="80"/>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row>
    <row r="116" spans="4:39" ht="14.4" x14ac:dyDescent="0.3">
      <c r="D116" s="5"/>
      <c r="E116" s="5"/>
      <c r="F116" s="80"/>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row>
    <row r="117" spans="4:39" ht="14.4" x14ac:dyDescent="0.3">
      <c r="D117" s="5"/>
      <c r="E117" s="5"/>
      <c r="F117" s="80"/>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row>
    <row r="118" spans="4:39" ht="14.4" x14ac:dyDescent="0.3">
      <c r="D118" s="5"/>
      <c r="E118" s="5"/>
      <c r="F118" s="80"/>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row>
    <row r="119" spans="4:39" ht="14.4" x14ac:dyDescent="0.3">
      <c r="D119" s="5"/>
      <c r="E119" s="5"/>
      <c r="F119" s="80"/>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row>
    <row r="120" spans="4:39" ht="14.4" x14ac:dyDescent="0.3">
      <c r="D120" s="5"/>
      <c r="E120" s="5"/>
      <c r="F120" s="80"/>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row>
    <row r="121" spans="4:39" ht="14.4" x14ac:dyDescent="0.3">
      <c r="D121" s="5"/>
      <c r="E121" s="5"/>
      <c r="F121" s="80"/>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row>
    <row r="122" spans="4:39" ht="14.4" x14ac:dyDescent="0.3">
      <c r="D122" s="5"/>
      <c r="E122" s="5"/>
      <c r="F122" s="80"/>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row>
    <row r="123" spans="4:39" ht="14.4" x14ac:dyDescent="0.3">
      <c r="D123" s="5"/>
      <c r="E123" s="5"/>
      <c r="F123" s="80"/>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row>
    <row r="124" spans="4:39" ht="14.4" x14ac:dyDescent="0.3">
      <c r="D124" s="5"/>
      <c r="E124" s="5"/>
      <c r="F124" s="80"/>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row>
    <row r="125" spans="4:39" ht="14.4" x14ac:dyDescent="0.3">
      <c r="D125" s="5"/>
      <c r="E125" s="5"/>
      <c r="F125" s="80"/>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row>
    <row r="126" spans="4:39" ht="14.4" x14ac:dyDescent="0.3">
      <c r="D126" s="5"/>
      <c r="E126" s="5"/>
      <c r="F126" s="80"/>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row>
    <row r="127" spans="4:39" ht="14.4" x14ac:dyDescent="0.3">
      <c r="D127" s="5"/>
      <c r="E127" s="5"/>
      <c r="F127" s="80"/>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row>
    <row r="128" spans="4:39" ht="14.4" x14ac:dyDescent="0.3">
      <c r="D128" s="5"/>
      <c r="E128" s="5"/>
      <c r="F128" s="80"/>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row>
    <row r="129" spans="4:39" ht="14.4" x14ac:dyDescent="0.3">
      <c r="D129" s="5"/>
      <c r="E129" s="5"/>
      <c r="F129" s="80"/>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row>
    <row r="130" spans="4:39" ht="14.4" x14ac:dyDescent="0.3">
      <c r="D130" s="5"/>
      <c r="E130" s="5"/>
      <c r="F130" s="80"/>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row>
    <row r="131" spans="4:39" ht="14.4" x14ac:dyDescent="0.3">
      <c r="D131" s="5"/>
      <c r="E131" s="5"/>
      <c r="F131" s="80"/>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row>
    <row r="132" spans="4:39" ht="14.4" x14ac:dyDescent="0.3">
      <c r="D132" s="5"/>
      <c r="E132" s="5"/>
      <c r="F132" s="80"/>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row>
    <row r="133" spans="4:39" ht="14.4" x14ac:dyDescent="0.3">
      <c r="D133" s="5"/>
      <c r="E133" s="5"/>
      <c r="F133" s="80"/>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row>
    <row r="134" spans="4:39" ht="14.4" x14ac:dyDescent="0.3">
      <c r="D134" s="5"/>
      <c r="E134" s="5"/>
      <c r="F134" s="80"/>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row>
    <row r="135" spans="4:39" ht="14.4" x14ac:dyDescent="0.3">
      <c r="D135" s="5"/>
      <c r="E135" s="5"/>
      <c r="F135" s="80"/>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row>
    <row r="136" spans="4:39" ht="14.4" x14ac:dyDescent="0.3">
      <c r="D136" s="5"/>
      <c r="E136" s="5"/>
      <c r="F136" s="80"/>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row>
    <row r="137" spans="4:39" ht="14.4" x14ac:dyDescent="0.3">
      <c r="D137" s="5"/>
      <c r="E137" s="5"/>
      <c r="F137" s="80"/>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row>
    <row r="138" spans="4:39" ht="14.4" x14ac:dyDescent="0.3">
      <c r="D138" s="5"/>
      <c r="E138" s="5"/>
      <c r="F138" s="80"/>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row>
    <row r="139" spans="4:39" ht="14.4" x14ac:dyDescent="0.3">
      <c r="D139" s="5"/>
      <c r="E139" s="5"/>
      <c r="F139" s="80"/>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row>
    <row r="140" spans="4:39" ht="14.4" x14ac:dyDescent="0.3">
      <c r="D140" s="5"/>
      <c r="E140" s="5"/>
      <c r="F140" s="80"/>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row>
    <row r="141" spans="4:39" ht="14.4" x14ac:dyDescent="0.3">
      <c r="D141" s="5"/>
      <c r="E141" s="5"/>
      <c r="F141" s="80"/>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row>
    <row r="142" spans="4:39" ht="14.4" x14ac:dyDescent="0.3">
      <c r="D142" s="5"/>
      <c r="E142" s="5"/>
      <c r="F142" s="80"/>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row>
    <row r="143" spans="4:39" ht="14.4" x14ac:dyDescent="0.3">
      <c r="D143" s="5"/>
      <c r="E143" s="5"/>
      <c r="F143" s="80"/>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row>
    <row r="144" spans="4:39" ht="14.4" x14ac:dyDescent="0.3">
      <c r="D144" s="5"/>
      <c r="E144" s="5"/>
      <c r="F144" s="80"/>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row>
    <row r="145" spans="4:39" ht="14.4" x14ac:dyDescent="0.3">
      <c r="D145" s="5"/>
      <c r="E145" s="5"/>
      <c r="F145" s="80"/>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row>
    <row r="146" spans="4:39" ht="14.4" x14ac:dyDescent="0.3">
      <c r="D146" s="5"/>
      <c r="E146" s="5"/>
      <c r="F146" s="80"/>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row>
    <row r="147" spans="4:39" ht="14.4" x14ac:dyDescent="0.3">
      <c r="D147" s="5"/>
      <c r="E147" s="5"/>
      <c r="F147" s="80"/>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row>
    <row r="148" spans="4:39" ht="14.4" x14ac:dyDescent="0.3">
      <c r="D148" s="5"/>
      <c r="E148" s="5"/>
      <c r="F148" s="80"/>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row>
    <row r="149" spans="4:39" ht="14.4" x14ac:dyDescent="0.3">
      <c r="D149" s="5"/>
      <c r="E149" s="5"/>
      <c r="F149" s="80"/>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row>
    <row r="150" spans="4:39" ht="14.4" x14ac:dyDescent="0.3">
      <c r="D150" s="5"/>
      <c r="E150" s="5"/>
      <c r="F150" s="80"/>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row>
    <row r="151" spans="4:39" ht="14.4" x14ac:dyDescent="0.3">
      <c r="D151" s="5"/>
      <c r="E151" s="5"/>
      <c r="F151" s="80"/>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row>
    <row r="152" spans="4:39" ht="14.4" x14ac:dyDescent="0.3">
      <c r="D152" s="5"/>
      <c r="E152" s="5"/>
      <c r="F152" s="80"/>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row>
    <row r="153" spans="4:39" ht="14.4" x14ac:dyDescent="0.3">
      <c r="D153" s="5"/>
      <c r="E153" s="5"/>
      <c r="F153" s="80"/>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row>
    <row r="154" spans="4:39" ht="14.4" x14ac:dyDescent="0.3">
      <c r="D154" s="5"/>
      <c r="E154" s="5"/>
      <c r="F154" s="80"/>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row>
    <row r="155" spans="4:39" ht="14.4" x14ac:dyDescent="0.3">
      <c r="D155" s="5"/>
      <c r="E155" s="5"/>
      <c r="F155" s="80"/>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row>
    <row r="156" spans="4:39" ht="14.4" x14ac:dyDescent="0.3">
      <c r="D156" s="5"/>
      <c r="E156" s="5"/>
      <c r="F156" s="80"/>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row>
    <row r="157" spans="4:39" ht="14.4" x14ac:dyDescent="0.3">
      <c r="D157" s="5"/>
      <c r="E157" s="5"/>
      <c r="F157" s="80"/>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row>
    <row r="158" spans="4:39" ht="14.4" x14ac:dyDescent="0.3">
      <c r="D158" s="5"/>
      <c r="E158" s="5"/>
      <c r="F158" s="80"/>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row>
    <row r="159" spans="4:39" ht="14.4" x14ac:dyDescent="0.3">
      <c r="D159" s="5"/>
      <c r="E159" s="5"/>
      <c r="F159" s="80"/>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row>
    <row r="160" spans="4:39" ht="14.4" x14ac:dyDescent="0.3">
      <c r="D160" s="5"/>
      <c r="E160" s="5"/>
      <c r="F160" s="80"/>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row>
    <row r="161" spans="4:39" ht="14.4" x14ac:dyDescent="0.3">
      <c r="D161" s="5"/>
      <c r="E161" s="5"/>
      <c r="F161" s="80"/>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row>
    <row r="162" spans="4:39" ht="14.4" x14ac:dyDescent="0.3">
      <c r="D162" s="5"/>
      <c r="E162" s="5"/>
      <c r="F162" s="80"/>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row>
    <row r="163" spans="4:39" ht="14.4" x14ac:dyDescent="0.3">
      <c r="D163" s="5"/>
      <c r="E163" s="5"/>
      <c r="F163" s="80"/>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row>
    <row r="164" spans="4:39" ht="14.4" x14ac:dyDescent="0.3">
      <c r="D164" s="5"/>
      <c r="E164" s="5"/>
      <c r="F164" s="80"/>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row>
    <row r="165" spans="4:39" ht="14.4" x14ac:dyDescent="0.3">
      <c r="D165" s="5"/>
      <c r="E165" s="5"/>
      <c r="F165" s="80"/>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row>
    <row r="166" spans="4:39" ht="14.4" x14ac:dyDescent="0.3">
      <c r="D166" s="5"/>
      <c r="E166" s="5"/>
      <c r="F166" s="80"/>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row>
    <row r="167" spans="4:39" ht="14.4" x14ac:dyDescent="0.3">
      <c r="D167" s="5"/>
      <c r="E167" s="5"/>
      <c r="F167" s="80"/>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row>
    <row r="168" spans="4:39" ht="14.4" x14ac:dyDescent="0.3">
      <c r="D168" s="5"/>
      <c r="E168" s="5"/>
      <c r="F168" s="80"/>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row>
    <row r="169" spans="4:39" ht="14.4" x14ac:dyDescent="0.3">
      <c r="D169" s="5"/>
      <c r="E169" s="5"/>
      <c r="F169" s="80"/>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row>
    <row r="170" spans="4:39" ht="14.4" x14ac:dyDescent="0.3">
      <c r="D170" s="5"/>
      <c r="E170" s="5"/>
      <c r="F170" s="80"/>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row>
    <row r="171" spans="4:39" ht="14.4" x14ac:dyDescent="0.3">
      <c r="D171" s="5"/>
      <c r="E171" s="5"/>
      <c r="F171" s="80"/>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row>
    <row r="172" spans="4:39" ht="14.4" x14ac:dyDescent="0.3">
      <c r="D172" s="5"/>
      <c r="E172" s="5"/>
      <c r="F172" s="80"/>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row>
    <row r="173" spans="4:39" ht="14.4" x14ac:dyDescent="0.3">
      <c r="D173" s="5"/>
      <c r="E173" s="5"/>
      <c r="F173" s="80"/>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row>
    <row r="174" spans="4:39" ht="14.4" x14ac:dyDescent="0.3">
      <c r="D174" s="5"/>
      <c r="E174" s="5"/>
      <c r="F174" s="80"/>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row>
    <row r="175" spans="4:39" ht="14.4" x14ac:dyDescent="0.3">
      <c r="D175" s="5"/>
      <c r="E175" s="5"/>
      <c r="F175" s="80"/>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row>
    <row r="176" spans="4:39" ht="14.4" x14ac:dyDescent="0.3">
      <c r="D176" s="5"/>
      <c r="E176" s="5"/>
      <c r="F176" s="80"/>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row>
    <row r="177" spans="4:39" ht="14.4" x14ac:dyDescent="0.3">
      <c r="D177" s="5"/>
      <c r="E177" s="5"/>
      <c r="F177" s="80"/>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row>
    <row r="178" spans="4:39" ht="14.4" x14ac:dyDescent="0.3">
      <c r="D178" s="5"/>
      <c r="E178" s="5"/>
      <c r="F178" s="80"/>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row>
    <row r="179" spans="4:39" ht="14.4" x14ac:dyDescent="0.3">
      <c r="D179" s="5"/>
      <c r="E179" s="5"/>
      <c r="F179" s="80"/>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row>
    <row r="180" spans="4:39" ht="14.4" x14ac:dyDescent="0.3">
      <c r="D180" s="5"/>
      <c r="E180" s="5"/>
      <c r="F180" s="80"/>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row>
    <row r="181" spans="4:39" ht="14.4" x14ac:dyDescent="0.3">
      <c r="D181" s="5"/>
      <c r="E181" s="5"/>
      <c r="F181" s="80"/>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row>
    <row r="182" spans="4:39" ht="14.4" x14ac:dyDescent="0.3">
      <c r="D182" s="5"/>
      <c r="E182" s="5"/>
      <c r="F182" s="80"/>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row>
    <row r="183" spans="4:39" ht="14.4" x14ac:dyDescent="0.3">
      <c r="D183" s="5"/>
      <c r="E183" s="5"/>
      <c r="F183" s="80"/>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row>
    <row r="184" spans="4:39" ht="14.4" x14ac:dyDescent="0.3">
      <c r="D184" s="5"/>
      <c r="E184" s="5"/>
      <c r="F184" s="80"/>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row>
    <row r="185" spans="4:39" ht="14.4" x14ac:dyDescent="0.3">
      <c r="D185" s="5"/>
      <c r="E185" s="5"/>
      <c r="F185" s="80"/>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row>
    <row r="186" spans="4:39" ht="14.4" x14ac:dyDescent="0.3">
      <c r="D186" s="5"/>
      <c r="E186" s="5"/>
      <c r="F186" s="80"/>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row>
    <row r="187" spans="4:39" ht="14.4" x14ac:dyDescent="0.3">
      <c r="D187" s="5"/>
      <c r="E187" s="5"/>
      <c r="F187" s="80"/>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row>
    <row r="188" spans="4:39" ht="14.4" x14ac:dyDescent="0.3">
      <c r="D188" s="5"/>
      <c r="E188" s="5"/>
      <c r="F188" s="80"/>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row>
    <row r="189" spans="4:39" ht="14.4" x14ac:dyDescent="0.3">
      <c r="D189" s="5"/>
      <c r="E189" s="5"/>
      <c r="F189" s="80"/>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row>
    <row r="190" spans="4:39" ht="14.4" x14ac:dyDescent="0.3">
      <c r="D190" s="5"/>
      <c r="E190" s="5"/>
      <c r="F190" s="80"/>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row>
    <row r="191" spans="4:39" ht="14.4" x14ac:dyDescent="0.3">
      <c r="D191" s="5"/>
      <c r="E191" s="5"/>
      <c r="F191" s="80"/>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row>
    <row r="192" spans="4:39" ht="14.4" x14ac:dyDescent="0.3">
      <c r="D192" s="5"/>
      <c r="E192" s="5"/>
      <c r="F192" s="80"/>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row>
    <row r="193" spans="4:39" ht="14.4" x14ac:dyDescent="0.3">
      <c r="D193" s="5"/>
      <c r="E193" s="5"/>
      <c r="F193" s="80"/>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row>
    <row r="194" spans="4:39" ht="14.4" x14ac:dyDescent="0.3">
      <c r="D194" s="5"/>
      <c r="E194" s="5"/>
      <c r="F194" s="80"/>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row>
    <row r="195" spans="4:39" ht="14.4" x14ac:dyDescent="0.3">
      <c r="D195" s="5"/>
      <c r="E195" s="5"/>
      <c r="F195" s="80"/>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row>
    <row r="196" spans="4:39" ht="14.4" x14ac:dyDescent="0.3">
      <c r="D196" s="5"/>
      <c r="E196" s="5"/>
      <c r="F196" s="80"/>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row>
    <row r="197" spans="4:39" ht="14.4" x14ac:dyDescent="0.3">
      <c r="D197" s="5"/>
      <c r="E197" s="5"/>
      <c r="F197" s="80"/>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row>
    <row r="198" spans="4:39" ht="14.4" x14ac:dyDescent="0.3">
      <c r="D198" s="5"/>
      <c r="E198" s="5"/>
      <c r="F198" s="80"/>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row>
    <row r="199" spans="4:39" ht="14.4" x14ac:dyDescent="0.3">
      <c r="D199" s="5"/>
      <c r="E199" s="5"/>
      <c r="F199" s="80"/>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row>
    <row r="200" spans="4:39" ht="14.4" x14ac:dyDescent="0.3">
      <c r="D200" s="5"/>
      <c r="E200" s="5"/>
      <c r="F200" s="80"/>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row>
    <row r="201" spans="4:39" ht="14.4" x14ac:dyDescent="0.3">
      <c r="D201" s="5"/>
      <c r="E201" s="5"/>
      <c r="F201" s="80"/>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row>
    <row r="202" spans="4:39" ht="14.4" x14ac:dyDescent="0.3">
      <c r="D202" s="5"/>
      <c r="E202" s="5"/>
      <c r="F202" s="80"/>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row>
    <row r="203" spans="4:39" ht="14.4" x14ac:dyDescent="0.3">
      <c r="D203" s="5"/>
      <c r="E203" s="5"/>
      <c r="F203" s="80"/>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row>
    <row r="204" spans="4:39" ht="14.4" x14ac:dyDescent="0.3">
      <c r="D204" s="5"/>
      <c r="E204" s="5"/>
      <c r="F204" s="80"/>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row>
    <row r="205" spans="4:39" ht="14.4" x14ac:dyDescent="0.3">
      <c r="D205" s="5"/>
      <c r="E205" s="5"/>
      <c r="F205" s="80"/>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row>
    <row r="206" spans="4:39" ht="14.4" x14ac:dyDescent="0.3">
      <c r="D206" s="5"/>
      <c r="E206" s="5"/>
      <c r="F206" s="80"/>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row>
    <row r="207" spans="4:39" ht="14.4" x14ac:dyDescent="0.3">
      <c r="D207" s="5"/>
      <c r="E207" s="5"/>
      <c r="F207" s="80"/>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row>
    <row r="208" spans="4:39" ht="14.4" x14ac:dyDescent="0.3">
      <c r="D208" s="5"/>
      <c r="E208" s="5"/>
      <c r="F208" s="80"/>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row>
    <row r="209" spans="4:39" ht="14.4" x14ac:dyDescent="0.3">
      <c r="D209" s="5"/>
      <c r="E209" s="5"/>
      <c r="F209" s="80"/>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row>
    <row r="210" spans="4:39" ht="14.4" x14ac:dyDescent="0.3">
      <c r="D210" s="5"/>
      <c r="E210" s="5"/>
      <c r="F210" s="80"/>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row>
    <row r="211" spans="4:39" ht="14.4" x14ac:dyDescent="0.3">
      <c r="D211" s="5"/>
      <c r="E211" s="5"/>
      <c r="F211" s="80"/>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row>
    <row r="212" spans="4:39" ht="14.4" x14ac:dyDescent="0.3">
      <c r="D212" s="5"/>
      <c r="E212" s="5"/>
      <c r="F212" s="80"/>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row>
    <row r="213" spans="4:39" ht="14.4" x14ac:dyDescent="0.3">
      <c r="D213" s="5"/>
      <c r="E213" s="5"/>
      <c r="F213" s="80"/>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row>
    <row r="214" spans="4:39" ht="14.4" x14ac:dyDescent="0.3">
      <c r="D214" s="5"/>
      <c r="E214" s="5"/>
      <c r="F214" s="80"/>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row>
    <row r="215" spans="4:39" ht="14.4" x14ac:dyDescent="0.3">
      <c r="D215" s="5"/>
      <c r="E215" s="5"/>
      <c r="F215" s="80"/>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row>
    <row r="216" spans="4:39" ht="14.4" x14ac:dyDescent="0.3">
      <c r="D216" s="5"/>
      <c r="E216" s="5"/>
      <c r="F216" s="80"/>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row>
    <row r="217" spans="4:39" ht="14.4" x14ac:dyDescent="0.3">
      <c r="D217" s="5"/>
      <c r="E217" s="5"/>
      <c r="F217" s="80"/>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row>
    <row r="218" spans="4:39" ht="14.4" x14ac:dyDescent="0.3">
      <c r="D218" s="5"/>
      <c r="E218" s="5"/>
      <c r="F218" s="80"/>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row>
    <row r="219" spans="4:39" ht="14.4" x14ac:dyDescent="0.3">
      <c r="D219" s="5"/>
      <c r="E219" s="5"/>
      <c r="F219" s="80"/>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row>
    <row r="220" spans="4:39" ht="14.4" x14ac:dyDescent="0.3">
      <c r="D220" s="5"/>
      <c r="E220" s="5"/>
      <c r="F220" s="80"/>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row>
    <row r="221" spans="4:39" ht="14.4" x14ac:dyDescent="0.3">
      <c r="D221" s="5"/>
      <c r="E221" s="5"/>
      <c r="F221" s="80"/>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row>
    <row r="222" spans="4:39" ht="14.4" x14ac:dyDescent="0.3">
      <c r="D222" s="5"/>
      <c r="E222" s="5"/>
      <c r="F222" s="80"/>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row>
    <row r="223" spans="4:39" ht="14.4" x14ac:dyDescent="0.3">
      <c r="D223" s="5"/>
      <c r="E223" s="5"/>
      <c r="F223" s="80"/>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row>
    <row r="224" spans="4:39" ht="14.4" x14ac:dyDescent="0.3">
      <c r="D224" s="5"/>
      <c r="E224" s="5"/>
      <c r="F224" s="80"/>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row>
    <row r="225" spans="4:39" ht="14.4" x14ac:dyDescent="0.3">
      <c r="D225" s="5"/>
      <c r="E225" s="5"/>
      <c r="F225" s="80"/>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row>
    <row r="226" spans="4:39" ht="14.4" x14ac:dyDescent="0.3">
      <c r="D226" s="5"/>
      <c r="E226" s="5"/>
      <c r="F226" s="80"/>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row>
    <row r="227" spans="4:39" ht="14.4" x14ac:dyDescent="0.3">
      <c r="D227" s="5"/>
      <c r="E227" s="5"/>
      <c r="F227" s="80"/>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row>
    <row r="228" spans="4:39" ht="14.4" x14ac:dyDescent="0.3">
      <c r="D228" s="5"/>
      <c r="E228" s="5"/>
      <c r="F228" s="80"/>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row>
    <row r="229" spans="4:39" ht="14.4" x14ac:dyDescent="0.3">
      <c r="D229" s="5"/>
      <c r="E229" s="5"/>
      <c r="F229" s="80"/>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row>
    <row r="230" spans="4:39" ht="14.4" x14ac:dyDescent="0.3">
      <c r="D230" s="5"/>
      <c r="E230" s="5"/>
      <c r="F230" s="80"/>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row>
    <row r="231" spans="4:39" ht="14.4" x14ac:dyDescent="0.3">
      <c r="D231" s="5"/>
      <c r="E231" s="5"/>
      <c r="F231" s="80"/>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row>
    <row r="232" spans="4:39" ht="14.4" x14ac:dyDescent="0.3">
      <c r="D232" s="5"/>
      <c r="E232" s="5"/>
      <c r="F232" s="80"/>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row>
    <row r="233" spans="4:39" ht="14.4" x14ac:dyDescent="0.3">
      <c r="D233" s="5"/>
      <c r="E233" s="5"/>
      <c r="F233" s="80"/>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row>
    <row r="234" spans="4:39" ht="14.4" x14ac:dyDescent="0.3">
      <c r="D234" s="5"/>
      <c r="E234" s="5"/>
      <c r="F234" s="80"/>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row>
    <row r="235" spans="4:39" ht="14.4" x14ac:dyDescent="0.3">
      <c r="D235" s="5"/>
      <c r="E235" s="5"/>
      <c r="F235" s="80"/>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row>
    <row r="236" spans="4:39" ht="14.4" x14ac:dyDescent="0.3">
      <c r="D236" s="5"/>
      <c r="E236" s="5"/>
      <c r="F236" s="80"/>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row>
    <row r="237" spans="4:39" ht="14.4" x14ac:dyDescent="0.3">
      <c r="D237" s="5"/>
      <c r="E237" s="5"/>
      <c r="F237" s="80"/>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row>
    <row r="238" spans="4:39" ht="14.4" x14ac:dyDescent="0.3">
      <c r="D238" s="5"/>
      <c r="E238" s="5"/>
      <c r="F238" s="80"/>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row>
    <row r="239" spans="4:39" ht="14.4" x14ac:dyDescent="0.3">
      <c r="D239" s="5"/>
      <c r="E239" s="5"/>
      <c r="F239" s="80"/>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row>
    <row r="240" spans="4:39" ht="14.4" x14ac:dyDescent="0.3">
      <c r="D240" s="5"/>
      <c r="E240" s="5"/>
      <c r="F240" s="80"/>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row>
    <row r="241" spans="4:39" ht="14.4" x14ac:dyDescent="0.3">
      <c r="D241" s="5"/>
      <c r="E241" s="5"/>
      <c r="F241" s="80"/>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row>
    <row r="242" spans="4:39" ht="14.4" x14ac:dyDescent="0.3">
      <c r="D242" s="5"/>
      <c r="E242" s="5"/>
      <c r="F242" s="80"/>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row>
    <row r="243" spans="4:39" ht="14.4" x14ac:dyDescent="0.3">
      <c r="D243" s="5"/>
      <c r="E243" s="5"/>
      <c r="F243" s="80"/>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row>
    <row r="244" spans="4:39" ht="14.4" x14ac:dyDescent="0.3">
      <c r="D244" s="5"/>
      <c r="E244" s="5"/>
      <c r="F244" s="80"/>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row>
    <row r="245" spans="4:39" ht="14.4" x14ac:dyDescent="0.3">
      <c r="D245" s="5"/>
      <c r="E245" s="5"/>
      <c r="F245" s="80"/>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row>
    <row r="246" spans="4:39" ht="14.4" x14ac:dyDescent="0.3">
      <c r="D246" s="5"/>
      <c r="E246" s="5"/>
      <c r="F246" s="80"/>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row>
    <row r="247" spans="4:39" ht="14.4" x14ac:dyDescent="0.3">
      <c r="D247" s="5"/>
      <c r="E247" s="5"/>
      <c r="F247" s="80"/>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row>
    <row r="248" spans="4:39" ht="14.4" x14ac:dyDescent="0.3">
      <c r="D248" s="5"/>
      <c r="E248" s="5"/>
      <c r="F248" s="80"/>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row>
    <row r="249" spans="4:39" ht="14.4" x14ac:dyDescent="0.3">
      <c r="D249" s="5"/>
      <c r="E249" s="5"/>
      <c r="F249" s="80"/>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row>
    <row r="250" spans="4:39" ht="14.4" x14ac:dyDescent="0.3">
      <c r="D250" s="5"/>
      <c r="E250" s="5"/>
      <c r="F250" s="80"/>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row>
    <row r="251" spans="4:39" ht="14.4" x14ac:dyDescent="0.3">
      <c r="D251" s="5"/>
      <c r="E251" s="5"/>
      <c r="F251" s="80"/>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row>
    <row r="252" spans="4:39" ht="14.4" x14ac:dyDescent="0.3">
      <c r="D252" s="5"/>
      <c r="E252" s="5"/>
      <c r="F252" s="80"/>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row>
    <row r="253" spans="4:39" ht="14.4" x14ac:dyDescent="0.3">
      <c r="D253" s="5"/>
      <c r="E253" s="5"/>
      <c r="F253" s="80"/>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row>
    <row r="254" spans="4:39" ht="14.4" x14ac:dyDescent="0.3">
      <c r="D254" s="5"/>
      <c r="E254" s="5"/>
      <c r="F254" s="80"/>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row>
    <row r="255" spans="4:39" ht="14.4" x14ac:dyDescent="0.3">
      <c r="D255" s="5"/>
      <c r="E255" s="5"/>
      <c r="F255" s="80"/>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row>
    <row r="256" spans="4:39" ht="14.4" x14ac:dyDescent="0.3">
      <c r="D256" s="5"/>
      <c r="E256" s="5"/>
      <c r="F256" s="80"/>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row>
    <row r="257" spans="4:39" ht="14.4" x14ac:dyDescent="0.3">
      <c r="D257" s="5"/>
      <c r="E257" s="5"/>
      <c r="F257" s="80"/>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row>
  </sheetData>
  <autoFilter ref="A7:E91" xr:uid="{00000000-0009-0000-0000-000001000000}"/>
  <hyperlinks>
    <hyperlink ref="B5" location="Справка!A1" display="Опирайся на цикл командного взаимодействия" xr:uid="{00000000-0004-0000-0100-000000000000}"/>
  </hyperlinks>
  <pageMargins left="0.70000004768371582" right="0.70000004768371582" top="0.75" bottom="0.75" header="0.5118110179901123" footer="0.5118110179901123"/>
  <pageSetup paperSize="9"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3"/>
  <sheetViews>
    <sheetView tabSelected="1" workbookViewId="0">
      <selection sqref="A1:F1"/>
    </sheetView>
  </sheetViews>
  <sheetFormatPr defaultColWidth="9.109375" defaultRowHeight="14.25" customHeight="1" x14ac:dyDescent="0.3"/>
  <cols>
    <col min="9" max="9" width="12" customWidth="1"/>
    <col min="10" max="10" width="8.6640625" customWidth="1"/>
    <col min="11" max="11" width="18.33203125" customWidth="1"/>
    <col min="12" max="12" width="17.6640625" customWidth="1"/>
    <col min="13" max="13" width="15.5546875" customWidth="1"/>
    <col min="14" max="14" width="16.6640625" customWidth="1"/>
    <col min="15" max="15" width="13.44140625" customWidth="1"/>
    <col min="22" max="22" width="9.109375" hidden="1" bestFit="1" customWidth="1"/>
  </cols>
  <sheetData>
    <row r="1" spans="1:22" ht="42.75" customHeight="1" x14ac:dyDescent="0.3">
      <c r="A1" s="87" t="s">
        <v>111</v>
      </c>
      <c r="B1" s="88"/>
      <c r="C1" s="89"/>
      <c r="D1" s="90"/>
      <c r="E1" s="91"/>
      <c r="F1" s="92"/>
      <c r="J1" t="s">
        <v>113</v>
      </c>
      <c r="K1" s="43" t="s">
        <v>45</v>
      </c>
      <c r="L1" s="43" t="s">
        <v>51</v>
      </c>
      <c r="M1" s="43" t="s">
        <v>47</v>
      </c>
      <c r="N1" s="43" t="s">
        <v>40</v>
      </c>
      <c r="O1" s="43" t="s">
        <v>117</v>
      </c>
      <c r="R1" s="46" t="s">
        <v>45</v>
      </c>
      <c r="S1" s="46" t="s">
        <v>51</v>
      </c>
      <c r="T1" s="46" t="s">
        <v>47</v>
      </c>
      <c r="U1" s="46" t="s">
        <v>40</v>
      </c>
      <c r="V1" t="s">
        <v>121</v>
      </c>
    </row>
    <row r="2" spans="1:22" ht="22.5" customHeight="1" x14ac:dyDescent="0.4">
      <c r="A2" s="93" t="s">
        <v>122</v>
      </c>
      <c r="B2" s="44">
        <v>1</v>
      </c>
      <c r="C2" s="45" t="s">
        <v>115</v>
      </c>
      <c r="D2" s="45" t="s">
        <v>116</v>
      </c>
      <c r="E2" s="45" t="s">
        <v>118</v>
      </c>
      <c r="F2" s="45" t="s">
        <v>119</v>
      </c>
      <c r="G2" s="47"/>
      <c r="H2" s="48" t="s">
        <v>124</v>
      </c>
      <c r="J2">
        <v>1</v>
      </c>
      <c r="K2" s="8">
        <f>IFERROR(VALUE(INDEX(Тест_в2!C10:C13, MATCH("A", C2:F2, 0))), 0)</f>
        <v>3</v>
      </c>
      <c r="L2" s="8">
        <f>IFERROR(VALUE(INDEX(Тест_в2!C10:C13, MATCH("B", C2:F2, 0))), 0)</f>
        <v>1</v>
      </c>
      <c r="M2" s="8">
        <f>IFERROR(VALUE(INDEX(Тест_в2!C10:C13, MATCH("C", C2:F2, 0))), 0)</f>
        <v>1</v>
      </c>
      <c r="N2" s="8">
        <f>IFERROR(VALUE(INDEX(Тест_в2!C10:C13, MATCH("D", C2:F2, 0))), 0)</f>
        <v>2</v>
      </c>
      <c r="O2">
        <f t="shared" ref="O2:O16" si="0">SUM(K2:N2)</f>
        <v>7</v>
      </c>
      <c r="R2">
        <f>K16</f>
        <v>34</v>
      </c>
      <c r="S2">
        <f>L16</f>
        <v>16</v>
      </c>
      <c r="T2">
        <f>M16</f>
        <v>14</v>
      </c>
      <c r="U2">
        <f>N16</f>
        <v>34</v>
      </c>
      <c r="V2">
        <f>MATCH(MAX(R2:U2), R2:U2, 0)</f>
        <v>1</v>
      </c>
    </row>
    <row r="3" spans="1:22" ht="22.5" customHeight="1" x14ac:dyDescent="0.4">
      <c r="A3" s="94"/>
      <c r="B3" s="44">
        <v>2</v>
      </c>
      <c r="C3" s="45" t="s">
        <v>119</v>
      </c>
      <c r="D3" s="45" t="s">
        <v>115</v>
      </c>
      <c r="E3" s="45" t="s">
        <v>116</v>
      </c>
      <c r="F3" s="45" t="s">
        <v>118</v>
      </c>
      <c r="G3" s="47"/>
      <c r="H3" s="48" t="s">
        <v>127</v>
      </c>
      <c r="J3">
        <v>2</v>
      </c>
      <c r="K3" s="8">
        <f>IFERROR(VALUE(INDEX(Тест_в2!C16:C19, MATCH("A", C3:F3, 0))), 0)</f>
        <v>0</v>
      </c>
      <c r="L3" s="8">
        <f>IFERROR(VALUE(INDEX(Тест_в2!C16:C19, MATCH("B", C3:F3, 0))), 0)</f>
        <v>2</v>
      </c>
      <c r="M3" s="8">
        <f>IFERROR(VALUE(INDEX(Тест_в2!C16:C19, MATCH("C", C3:F3, 0))), 0)</f>
        <v>0</v>
      </c>
      <c r="N3" s="8">
        <f>IFERROR(VALUE(INDEX(Тест_в2!C16:C19, MATCH("D", C3:F3, 0))), 0)</f>
        <v>5</v>
      </c>
      <c r="O3">
        <f t="shared" si="0"/>
        <v>7</v>
      </c>
    </row>
    <row r="4" spans="1:22" ht="22.5" customHeight="1" x14ac:dyDescent="0.4">
      <c r="A4" s="95"/>
      <c r="B4" s="44">
        <v>3</v>
      </c>
      <c r="C4" s="45" t="s">
        <v>116</v>
      </c>
      <c r="D4" s="45" t="s">
        <v>115</v>
      </c>
      <c r="E4" s="45" t="s">
        <v>119</v>
      </c>
      <c r="F4" s="45" t="s">
        <v>118</v>
      </c>
      <c r="G4" s="47"/>
      <c r="H4" s="48" t="s">
        <v>126</v>
      </c>
      <c r="J4">
        <v>3</v>
      </c>
      <c r="K4" s="8">
        <f>IFERROR(VALUE(INDEX(Тест_в2!C22:C25, MATCH("A", C4:F4, 0))), 0)</f>
        <v>2</v>
      </c>
      <c r="L4" s="8">
        <f>IFERROR(VALUE(INDEX(Тест_в2!C22:C25, MATCH("B", C4:F4, 0))), 0)</f>
        <v>0</v>
      </c>
      <c r="M4" s="8">
        <f>IFERROR(VALUE(INDEX(Тест_в2!C22:C25, MATCH("C", C4:F4, 0))), 0)</f>
        <v>0</v>
      </c>
      <c r="N4" s="8">
        <f>IFERROR(VALUE(INDEX(Тест_в2!C22:C25, MATCH("D", C4:F4, 0))), 0)</f>
        <v>5</v>
      </c>
      <c r="O4">
        <f t="shared" si="0"/>
        <v>7</v>
      </c>
    </row>
    <row r="5" spans="1:22" ht="22.5" customHeight="1" x14ac:dyDescent="0.4">
      <c r="A5" s="96"/>
      <c r="B5" s="44">
        <v>4</v>
      </c>
      <c r="C5" s="45" t="s">
        <v>118</v>
      </c>
      <c r="D5" s="45" t="s">
        <v>119</v>
      </c>
      <c r="E5" s="45" t="s">
        <v>115</v>
      </c>
      <c r="F5" s="45" t="s">
        <v>116</v>
      </c>
      <c r="G5" s="47"/>
      <c r="H5" s="48" t="s">
        <v>128</v>
      </c>
      <c r="J5">
        <v>4</v>
      </c>
      <c r="K5" s="8">
        <f>IFERROR(VALUE(INDEX(Тест_в2!C28:C31, MATCH("A", C5:F5, 0))), 0)</f>
        <v>0</v>
      </c>
      <c r="L5" s="8">
        <f>IFERROR(VALUE(INDEX(Тест_в2!C28:C31, MATCH("B", C5:F5, 0))), 0)</f>
        <v>3</v>
      </c>
      <c r="M5" s="8">
        <f>IFERROR(VALUE(INDEX(Тест_в2!C28:C31, MATCH("C", C5:F5, 0))), 0)</f>
        <v>0</v>
      </c>
      <c r="N5" s="8">
        <f>IFERROR(VALUE(INDEX(Тест_в2!C28:C31, MATCH("D", C5:F5, 0))), 0)</f>
        <v>4</v>
      </c>
      <c r="O5">
        <f t="shared" si="0"/>
        <v>7</v>
      </c>
    </row>
    <row r="6" spans="1:22" ht="22.5" customHeight="1" x14ac:dyDescent="0.4">
      <c r="A6" s="97"/>
      <c r="B6" s="44">
        <v>5</v>
      </c>
      <c r="C6" s="45" t="s">
        <v>116</v>
      </c>
      <c r="D6" s="45" t="s">
        <v>118</v>
      </c>
      <c r="E6" s="45" t="s">
        <v>119</v>
      </c>
      <c r="F6" s="45" t="s">
        <v>115</v>
      </c>
      <c r="G6" s="47"/>
      <c r="J6">
        <v>5</v>
      </c>
      <c r="K6" s="8">
        <f>IFERROR(VALUE(INDEX(Тест_в2!C34:C37, MATCH("A", C6:F6, 0))), 0)</f>
        <v>0</v>
      </c>
      <c r="L6" s="8">
        <f>IFERROR(VALUE(INDEX(Тест_в2!C34:C37, MATCH("B", C6:F6, 0))), 0)</f>
        <v>0</v>
      </c>
      <c r="M6" s="8">
        <f>IFERROR(VALUE(INDEX(Тест_в2!C34:C37, MATCH("C", C6:F6, 0))), 0)</f>
        <v>4</v>
      </c>
      <c r="N6" s="8">
        <f>IFERROR(VALUE(INDEX(Тест_в2!C34:C37, MATCH("D", C6:F6, 0))), 0)</f>
        <v>3</v>
      </c>
      <c r="O6">
        <f t="shared" si="0"/>
        <v>7</v>
      </c>
    </row>
    <row r="7" spans="1:22" ht="22.5" customHeight="1" x14ac:dyDescent="0.4">
      <c r="A7" s="98"/>
      <c r="B7" s="44">
        <v>6</v>
      </c>
      <c r="C7" s="45" t="s">
        <v>118</v>
      </c>
      <c r="D7" s="45" t="s">
        <v>119</v>
      </c>
      <c r="E7" s="45" t="s">
        <v>115</v>
      </c>
      <c r="F7" s="45" t="s">
        <v>116</v>
      </c>
      <c r="G7" s="47"/>
      <c r="J7">
        <v>6</v>
      </c>
      <c r="K7" s="8">
        <f>IFERROR(VALUE(INDEX(Тест_в2!C40:C43, MATCH("A", C7:F7, 0))), 0)</f>
        <v>3</v>
      </c>
      <c r="L7" s="8">
        <f>IFERROR(VALUE(INDEX(Тест_в2!C40:C43, MATCH("B", C7:F7, 0))), 0)</f>
        <v>4</v>
      </c>
      <c r="M7" s="8">
        <f>IFERROR(VALUE(INDEX(Тест_в2!C40:C43, MATCH("C", C7:F7, 0))), 0)</f>
        <v>0</v>
      </c>
      <c r="N7" s="8">
        <f>IFERROR(VALUE(INDEX(Тест_в2!C40:C43, MATCH("D", C7:F7, 0))), 0)</f>
        <v>0</v>
      </c>
      <c r="O7">
        <f t="shared" si="0"/>
        <v>7</v>
      </c>
    </row>
    <row r="8" spans="1:22" ht="22.5" customHeight="1" x14ac:dyDescent="0.4">
      <c r="A8" s="99"/>
      <c r="B8" s="44">
        <v>7</v>
      </c>
      <c r="C8" s="45" t="s">
        <v>115</v>
      </c>
      <c r="D8" s="45" t="s">
        <v>116</v>
      </c>
      <c r="E8" s="45" t="s">
        <v>118</v>
      </c>
      <c r="F8" s="45" t="s">
        <v>119</v>
      </c>
      <c r="G8" s="47"/>
      <c r="J8">
        <v>7</v>
      </c>
      <c r="K8" s="8">
        <f>IFERROR(VALUE(INDEX(Тест_в2!C46:C49, MATCH("A", C8:F8, 0))), 0)</f>
        <v>7</v>
      </c>
      <c r="L8" s="8">
        <f>IFERROR(VALUE(INDEX(Тест_в2!C46:C49, MATCH("B", C8:F8, 0))), 0)</f>
        <v>0</v>
      </c>
      <c r="M8" s="8">
        <f>IFERROR(VALUE(INDEX(Тест_в2!C46:C49, MATCH("C", C8:F8, 0))), 0)</f>
        <v>0</v>
      </c>
      <c r="N8" s="8">
        <f>IFERROR(VALUE(INDEX(Тест_в2!C46:C49, MATCH("D", C8:F8, 0))), 0)</f>
        <v>0</v>
      </c>
      <c r="O8">
        <f t="shared" si="0"/>
        <v>7</v>
      </c>
    </row>
    <row r="9" spans="1:22" ht="22.5" customHeight="1" x14ac:dyDescent="0.4">
      <c r="A9" s="100"/>
      <c r="B9" s="44">
        <v>8</v>
      </c>
      <c r="C9" s="45" t="s">
        <v>116</v>
      </c>
      <c r="D9" s="45" t="s">
        <v>118</v>
      </c>
      <c r="E9" s="45" t="s">
        <v>119</v>
      </c>
      <c r="F9" s="45" t="s">
        <v>115</v>
      </c>
      <c r="G9" s="47"/>
      <c r="J9">
        <v>8</v>
      </c>
      <c r="K9" s="8">
        <f>IFERROR(VALUE(INDEX(Тест_в2!C52:C55, MATCH("A", C9:F9, 0))), 0)</f>
        <v>7</v>
      </c>
      <c r="L9" s="8">
        <f>IFERROR(VALUE(INDEX(Тест_в2!C52:C55, MATCH("B", C9:F9, 0))), 0)</f>
        <v>0</v>
      </c>
      <c r="M9" s="8">
        <f>IFERROR(VALUE(INDEX(Тест_в2!C52:C55, MATCH("C", C9:F9, 0))), 0)</f>
        <v>0</v>
      </c>
      <c r="N9" s="8">
        <f>IFERROR(VALUE(INDEX(Тест_в2!C52:C55, MATCH("D", C9:F9, 0))), 0)</f>
        <v>0</v>
      </c>
      <c r="O9">
        <f t="shared" si="0"/>
        <v>7</v>
      </c>
    </row>
    <row r="10" spans="1:22" ht="22.5" customHeight="1" x14ac:dyDescent="0.4">
      <c r="A10" s="101"/>
      <c r="B10" s="44">
        <v>9</v>
      </c>
      <c r="C10" s="45" t="s">
        <v>116</v>
      </c>
      <c r="D10" s="45" t="s">
        <v>118</v>
      </c>
      <c r="E10" s="45" t="s">
        <v>119</v>
      </c>
      <c r="F10" s="45" t="s">
        <v>115</v>
      </c>
      <c r="G10" s="47"/>
      <c r="J10">
        <v>9</v>
      </c>
      <c r="K10" s="8">
        <f>IFERROR(VALUE(INDEX(Тест_в2!C58:C61, MATCH("A", C10:F10, 0))), 0)</f>
        <v>0</v>
      </c>
      <c r="L10" s="8">
        <f>IFERROR(VALUE(INDEX(Тест_в2!C58:C61, MATCH("B", C10:F10, 0))), 0)</f>
        <v>0</v>
      </c>
      <c r="M10" s="8">
        <f>IFERROR(VALUE(INDEX(Тест_в2!C58:C61, MATCH("C", C10:F10, 0))), 0)</f>
        <v>3</v>
      </c>
      <c r="N10" s="8">
        <f>IFERROR(VALUE(INDEX(Тест_в2!C58:C61, MATCH("D", C10:F10, 0))), 0)</f>
        <v>4</v>
      </c>
      <c r="O10">
        <f t="shared" si="0"/>
        <v>7</v>
      </c>
    </row>
    <row r="11" spans="1:22" ht="22.5" customHeight="1" x14ac:dyDescent="0.4">
      <c r="A11" s="102"/>
      <c r="B11" s="44">
        <v>10</v>
      </c>
      <c r="C11" s="45" t="s">
        <v>118</v>
      </c>
      <c r="D11" s="45" t="s">
        <v>119</v>
      </c>
      <c r="E11" s="45" t="s">
        <v>115</v>
      </c>
      <c r="F11" s="45" t="s">
        <v>116</v>
      </c>
      <c r="G11" s="47"/>
      <c r="J11">
        <v>10</v>
      </c>
      <c r="K11" s="8">
        <f>IFERROR(VALUE(INDEX(Тест_в2!C64:C67, MATCH("A", C11:F11, 0))), 0)</f>
        <v>3</v>
      </c>
      <c r="L11" s="8">
        <f>IFERROR(VALUE(INDEX(Тест_в2!C64:C67, MATCH("B", C11:F11, 0))), 0)</f>
        <v>0</v>
      </c>
      <c r="M11" s="8">
        <f>IFERROR(VALUE(INDEX(Тест_в2!C64:C67, MATCH("C", C11:F11, 0))), 0)</f>
        <v>0</v>
      </c>
      <c r="N11" s="8">
        <f>IFERROR(VALUE(INDEX(Тест_в2!C64:C67, MATCH("D", C11:F11, 0))), 0)</f>
        <v>4</v>
      </c>
      <c r="O11">
        <f t="shared" si="0"/>
        <v>7</v>
      </c>
    </row>
    <row r="12" spans="1:22" ht="22.5" customHeight="1" x14ac:dyDescent="0.4">
      <c r="A12" s="103"/>
      <c r="B12" s="44">
        <v>11</v>
      </c>
      <c r="C12" s="45" t="s">
        <v>115</v>
      </c>
      <c r="D12" s="45" t="s">
        <v>116</v>
      </c>
      <c r="E12" s="45" t="s">
        <v>118</v>
      </c>
      <c r="F12" s="45" t="s">
        <v>119</v>
      </c>
      <c r="G12" s="47"/>
      <c r="J12">
        <v>11</v>
      </c>
      <c r="K12" s="8">
        <f>IFERROR(VALUE(INDEX(Тест_в2!C70:C73, MATCH("A", C12:F12, 0))), 0)</f>
        <v>2</v>
      </c>
      <c r="L12" s="8">
        <f>IFERROR(VALUE(INDEX(Тест_в2!C70:C73, MATCH("B", C12:F12, 0))), 0)</f>
        <v>3</v>
      </c>
      <c r="M12" s="8">
        <f>IFERROR(VALUE(INDEX(Тест_в2!C70:C73, MATCH("C", C12:F12, 0))), 0)</f>
        <v>2</v>
      </c>
      <c r="N12" s="8">
        <f>IFERROR(VALUE(INDEX(Тест_в2!C70:C73, MATCH("D", C12:F12, 0))), 0)</f>
        <v>0</v>
      </c>
      <c r="O12">
        <f t="shared" si="0"/>
        <v>7</v>
      </c>
    </row>
    <row r="13" spans="1:22" ht="22.5" customHeight="1" x14ac:dyDescent="0.4">
      <c r="A13" s="104"/>
      <c r="B13" s="44">
        <v>12</v>
      </c>
      <c r="C13" s="45" t="s">
        <v>116</v>
      </c>
      <c r="D13" s="45" t="s">
        <v>115</v>
      </c>
      <c r="E13" s="45" t="s">
        <v>119</v>
      </c>
      <c r="F13" s="45" t="s">
        <v>118</v>
      </c>
      <c r="G13" s="47"/>
      <c r="J13">
        <v>12</v>
      </c>
      <c r="K13" s="8">
        <f>IFERROR(VALUE(INDEX(Тест_в2!C76:C79, MATCH("A", C13:F13, 0))), 0)</f>
        <v>3</v>
      </c>
      <c r="L13" s="8">
        <f>IFERROR(VALUE(INDEX(Тест_в2!C76:C79, MATCH("B", C13:F13, 0))), 0)</f>
        <v>0</v>
      </c>
      <c r="M13" s="8">
        <f>IFERROR(VALUE(INDEX(Тест_в2!C76:C79, MATCH("C", C13:F13, 0))), 0)</f>
        <v>4</v>
      </c>
      <c r="N13" s="8">
        <f>IFERROR(VALUE(INDEX(Тест_в2!C76:C79, MATCH("D", C13:F13, 0))), 0)</f>
        <v>0</v>
      </c>
      <c r="O13">
        <f t="shared" si="0"/>
        <v>7</v>
      </c>
    </row>
    <row r="14" spans="1:22" ht="22.5" customHeight="1" x14ac:dyDescent="0.4">
      <c r="A14" s="105"/>
      <c r="B14" s="44">
        <v>13</v>
      </c>
      <c r="C14" s="45" t="s">
        <v>119</v>
      </c>
      <c r="D14" s="45" t="s">
        <v>115</v>
      </c>
      <c r="E14" s="45" t="s">
        <v>116</v>
      </c>
      <c r="F14" s="45" t="s">
        <v>118</v>
      </c>
      <c r="G14" s="49"/>
      <c r="J14">
        <v>13</v>
      </c>
      <c r="K14" s="8">
        <f>IFERROR(VALUE(INDEX(Тест_в2!C82:C85, MATCH("A", C14:F14, 0))), 0)</f>
        <v>0</v>
      </c>
      <c r="L14" s="8">
        <f>IFERROR(VALUE(INDEX(Тест_в2!C82:C85, MATCH("B", C14:F14, 0))), 0)</f>
        <v>0</v>
      </c>
      <c r="M14" s="8">
        <f>IFERROR(VALUE(INDEX(Тест_в2!C82:C85, MATCH("C", C14:F14, 0))), 0)</f>
        <v>0</v>
      </c>
      <c r="N14" s="8">
        <f>IFERROR(VALUE(INDEX(Тест_в2!C82:C85, MATCH("D", C14:F14, 0))), 0)</f>
        <v>7</v>
      </c>
      <c r="O14">
        <f t="shared" si="0"/>
        <v>7</v>
      </c>
    </row>
    <row r="15" spans="1:22" ht="22.5" customHeight="1" x14ac:dyDescent="0.4">
      <c r="A15" s="106"/>
      <c r="B15" s="44">
        <v>14</v>
      </c>
      <c r="C15" s="45" t="s">
        <v>118</v>
      </c>
      <c r="D15" s="45" t="s">
        <v>119</v>
      </c>
      <c r="E15" s="45" t="s">
        <v>115</v>
      </c>
      <c r="F15" s="45" t="s">
        <v>116</v>
      </c>
      <c r="G15" s="49"/>
      <c r="J15">
        <v>14</v>
      </c>
      <c r="K15" s="8">
        <f>IFERROR(VALUE(INDEX(Тест_в2!C88:C91, MATCH("A", C15:F15, 0))), 0)</f>
        <v>4</v>
      </c>
      <c r="L15" s="8">
        <f>IFERROR(VALUE(INDEX(Тест_в2!C88:C91, MATCH("B", C15:F15, 0))), 0)</f>
        <v>3</v>
      </c>
      <c r="M15" s="8">
        <f>IFERROR(VALUE(INDEX(Тест_в2!C88:C91, MATCH("C", C15:F15, 0))), 0)</f>
        <v>0</v>
      </c>
      <c r="N15" s="8">
        <f>IFERROR(VALUE(INDEX(Тест_в2!C88:C91, MATCH("D", C15:F15, 0))), 0)</f>
        <v>0</v>
      </c>
      <c r="O15">
        <f t="shared" si="0"/>
        <v>7</v>
      </c>
    </row>
    <row r="16" spans="1:22" ht="58.5" customHeight="1" x14ac:dyDescent="0.4">
      <c r="A16" s="49"/>
      <c r="B16" s="107"/>
      <c r="C16" s="107"/>
      <c r="D16" s="107"/>
      <c r="E16" s="107"/>
      <c r="F16" s="107"/>
      <c r="G16" s="107"/>
      <c r="J16" s="4" t="s">
        <v>125</v>
      </c>
      <c r="K16">
        <f>SUM(K2:K15)</f>
        <v>34</v>
      </c>
      <c r="L16">
        <f>SUM(L2:L15)</f>
        <v>16</v>
      </c>
      <c r="M16">
        <f>SUM(M2:M15)</f>
        <v>14</v>
      </c>
      <c r="N16">
        <f>SUM(N2:N15)</f>
        <v>34</v>
      </c>
      <c r="O16">
        <f t="shared" si="0"/>
        <v>98</v>
      </c>
    </row>
    <row r="18" spans="11:19" ht="14.4" x14ac:dyDescent="0.3">
      <c r="K18" t="s">
        <v>114</v>
      </c>
    </row>
    <row r="20" spans="11:19" ht="14.4" x14ac:dyDescent="0.3">
      <c r="R20" t="s">
        <v>112</v>
      </c>
      <c r="S20" t="str">
        <f>INDEX(R1:U1, MATCH(MAX(R2:U2), R2:U2, 0))</f>
        <v>Целеустремленный</v>
      </c>
    </row>
    <row r="21" spans="11:19" ht="14.4" x14ac:dyDescent="0.3">
      <c r="M21">
        <f>LARGE(R2:U2, 2)</f>
        <v>34</v>
      </c>
      <c r="S21">
        <f>MAX(R2:U2)</f>
        <v>34</v>
      </c>
    </row>
    <row r="22" spans="11:19" ht="14.4" x14ac:dyDescent="0.3">
      <c r="R22" t="s">
        <v>120</v>
      </c>
      <c r="S22" t="str">
        <f>IF(S21-M21&lt;=5, INDEX(R1:U1, MATCH(M21, R2:U2, 0)), "")</f>
        <v>Целеустремленный</v>
      </c>
    </row>
    <row r="23" spans="11:19" ht="14.4" x14ac:dyDescent="0.3">
      <c r="R23" t="s">
        <v>123</v>
      </c>
      <c r="S23">
        <f>IF(S22="", "", S21-M21)</f>
        <v>0</v>
      </c>
    </row>
  </sheetData>
  <mergeCells count="3">
    <mergeCell ref="A1:F1"/>
    <mergeCell ref="A2:A15"/>
    <mergeCell ref="B16:G16"/>
  </mergeCells>
  <pageMargins left="0.70000004768371582" right="0.70000004768371582" top="0.75" bottom="0.75" header="0.5118110179901123" footer="0.5118110179901123"/>
  <pageSetup paperSize="9" fitToWidth="0"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heetViews>
  <sheetFormatPr defaultColWidth="9.109375" defaultRowHeight="14.25" customHeight="1" x14ac:dyDescent="0.3"/>
  <cols>
    <col min="1" max="1" width="179.109375" customWidth="1"/>
    <col min="2" max="2" width="19.33203125" customWidth="1"/>
    <col min="3" max="3" width="55.6640625" customWidth="1"/>
  </cols>
  <sheetData>
    <row r="1" spans="1:3" ht="14.4" x14ac:dyDescent="0.3">
      <c r="A1" s="25" t="s">
        <v>129</v>
      </c>
    </row>
    <row r="2" spans="1:3" ht="165" customHeight="1" x14ac:dyDescent="0.3">
      <c r="A2" s="2" t="s">
        <v>131</v>
      </c>
      <c r="C2" s="4"/>
    </row>
    <row r="3" spans="1:3" ht="18.75" customHeight="1" x14ac:dyDescent="0.3">
      <c r="A3" s="25" t="s">
        <v>130</v>
      </c>
      <c r="C3" s="4"/>
    </row>
    <row r="4" spans="1:3" ht="181.5" customHeight="1" x14ac:dyDescent="0.3">
      <c r="A4" s="2" t="s">
        <v>132</v>
      </c>
    </row>
  </sheetData>
  <pageMargins left="0.70000004768371582" right="0.70000004768371582" top="0.75" bottom="0.75" header="0.5118110179901123" footer="0.5118110179901123"/>
  <pageSetup paperSize="9" fitToWidth="0"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12"/>
  <sheetViews>
    <sheetView workbookViewId="0"/>
  </sheetViews>
  <sheetFormatPr defaultColWidth="9.109375" defaultRowHeight="14.25" customHeight="1" x14ac:dyDescent="0.3"/>
  <cols>
    <col min="1" max="1" width="152.33203125" customWidth="1"/>
    <col min="2" max="2" width="55.6640625" style="50" customWidth="1"/>
    <col min="8" max="8" width="25.44140625" customWidth="1"/>
  </cols>
  <sheetData>
    <row r="2" spans="1:2" ht="14.4" x14ac:dyDescent="0.3">
      <c r="A2" s="52" t="s">
        <v>133</v>
      </c>
    </row>
    <row r="3" spans="1:2" ht="408.75" customHeight="1" x14ac:dyDescent="0.3">
      <c r="A3" s="54" t="s">
        <v>137</v>
      </c>
    </row>
    <row r="5" spans="1:2" ht="14.4" x14ac:dyDescent="0.3">
      <c r="A5" s="52" t="s">
        <v>135</v>
      </c>
    </row>
    <row r="6" spans="1:2" ht="392.25" customHeight="1" x14ac:dyDescent="0.3">
      <c r="A6" s="54" t="s">
        <v>139</v>
      </c>
    </row>
    <row r="8" spans="1:2" ht="14.4" x14ac:dyDescent="0.3">
      <c r="A8" s="51" t="s">
        <v>134</v>
      </c>
    </row>
    <row r="9" spans="1:2" ht="404.25" customHeight="1" x14ac:dyDescent="0.3">
      <c r="A9" s="54" t="s">
        <v>138</v>
      </c>
    </row>
    <row r="11" spans="1:2" ht="12" customHeight="1" x14ac:dyDescent="0.3">
      <c r="A11" s="51" t="s">
        <v>136</v>
      </c>
      <c r="B11" s="53"/>
    </row>
    <row r="12" spans="1:2" ht="408.75" customHeight="1" x14ac:dyDescent="0.3">
      <c r="A12" s="54" t="s">
        <v>140</v>
      </c>
    </row>
  </sheetData>
  <pageMargins left="0.70000004768371582" right="0.70000004768371582" top="0.75" bottom="0.75" header="0.5118110179901123" footer="0.5118110179901123"/>
  <pageSetup paperSize="9"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workbookViewId="0"/>
  </sheetViews>
  <sheetFormatPr defaultColWidth="9.109375" defaultRowHeight="14.25" customHeight="1" x14ac:dyDescent="0.3"/>
  <cols>
    <col min="1" max="1" width="146.88671875" customWidth="1"/>
    <col min="2" max="2" width="53.33203125" customWidth="1"/>
    <col min="4" max="4" width="55.6640625" style="50" customWidth="1"/>
  </cols>
  <sheetData>
    <row r="1" spans="1:2" ht="36.75" customHeight="1" x14ac:dyDescent="0.3">
      <c r="A1" s="55" t="s">
        <v>141</v>
      </c>
    </row>
    <row r="2" spans="1:2" ht="14.4" x14ac:dyDescent="0.3">
      <c r="A2" s="56" t="s">
        <v>143</v>
      </c>
      <c r="B2" s="57" t="s">
        <v>146</v>
      </c>
    </row>
    <row r="3" spans="1:2" ht="300" customHeight="1" x14ac:dyDescent="0.3">
      <c r="A3" s="58" t="s">
        <v>149</v>
      </c>
      <c r="B3" s="59" t="s">
        <v>151</v>
      </c>
    </row>
    <row r="4" spans="1:2" ht="14.4" x14ac:dyDescent="0.3">
      <c r="A4" s="3"/>
    </row>
    <row r="5" spans="1:2" ht="14.4" x14ac:dyDescent="0.3">
      <c r="A5" s="56" t="s">
        <v>145</v>
      </c>
      <c r="B5" s="57" t="s">
        <v>146</v>
      </c>
    </row>
    <row r="6" spans="1:2" ht="326.25" customHeight="1" x14ac:dyDescent="0.3">
      <c r="A6" s="58" t="s">
        <v>148</v>
      </c>
    </row>
    <row r="7" spans="1:2" ht="14.4" x14ac:dyDescent="0.3">
      <c r="A7" s="3"/>
    </row>
    <row r="8" spans="1:2" ht="14.4" x14ac:dyDescent="0.3">
      <c r="A8" s="56" t="s">
        <v>144</v>
      </c>
      <c r="B8" s="57" t="s">
        <v>146</v>
      </c>
    </row>
    <row r="9" spans="1:2" ht="303" customHeight="1" x14ac:dyDescent="0.3">
      <c r="A9" s="58" t="s">
        <v>147</v>
      </c>
    </row>
    <row r="10" spans="1:2" ht="14.4" x14ac:dyDescent="0.3">
      <c r="A10" s="3"/>
    </row>
    <row r="11" spans="1:2" ht="14.4" x14ac:dyDescent="0.3">
      <c r="A11" s="56" t="s">
        <v>142</v>
      </c>
      <c r="B11" s="57" t="s">
        <v>146</v>
      </c>
    </row>
    <row r="12" spans="1:2" ht="336" customHeight="1" x14ac:dyDescent="0.3">
      <c r="A12" s="58" t="s">
        <v>150</v>
      </c>
    </row>
  </sheetData>
  <pageMargins left="0.70000004768371582" right="0.70000004768371582" top="0.75" bottom="0.75" header="0.5118110179901123" footer="0.5118110179901123"/>
  <pageSetup paperSize="9" fitToWidth="0"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140"/>
  <sheetViews>
    <sheetView workbookViewId="0"/>
  </sheetViews>
  <sheetFormatPr defaultColWidth="9.109375" defaultRowHeight="14.25" customHeight="1" outlineLevelRow="1" x14ac:dyDescent="0.3"/>
  <cols>
    <col min="1" max="1" width="2.6640625" customWidth="1"/>
    <col min="2" max="9" width="14.6640625" customWidth="1"/>
  </cols>
  <sheetData>
    <row r="1" spans="2:11" ht="30.75" customHeight="1" x14ac:dyDescent="0.45">
      <c r="B1" s="111" t="s">
        <v>152</v>
      </c>
      <c r="C1" s="111"/>
      <c r="D1" s="111"/>
      <c r="E1" s="111"/>
      <c r="F1" s="111"/>
      <c r="G1" s="111"/>
      <c r="H1" s="111"/>
      <c r="J1" t="s">
        <v>156</v>
      </c>
      <c r="K1" t="s">
        <v>157</v>
      </c>
    </row>
    <row r="2" spans="2:11" ht="18" customHeight="1" x14ac:dyDescent="0.3">
      <c r="J2" t="s">
        <v>45</v>
      </c>
      <c r="K2">
        <f>'Механика подсчета результатов'!R2</f>
        <v>34</v>
      </c>
    </row>
    <row r="3" spans="2:11" ht="27.75" customHeight="1" x14ac:dyDescent="0.35">
      <c r="B3" s="108" t="s">
        <v>158</v>
      </c>
      <c r="C3" s="108"/>
      <c r="D3" s="108"/>
      <c r="E3" s="108"/>
      <c r="F3" s="108"/>
      <c r="G3" s="108"/>
      <c r="H3" s="108"/>
      <c r="J3" t="s">
        <v>51</v>
      </c>
      <c r="K3">
        <f>'Механика подсчета результатов'!S2</f>
        <v>16</v>
      </c>
    </row>
    <row r="4" spans="2:11" ht="14.4" x14ac:dyDescent="0.3">
      <c r="B4" s="109">
        <f>'1. Вводная часть отчета'!B2</f>
        <v>0</v>
      </c>
      <c r="C4" s="109"/>
      <c r="D4" s="109"/>
      <c r="E4" s="109"/>
      <c r="F4" s="109"/>
      <c r="G4" s="109"/>
      <c r="H4" s="109"/>
      <c r="J4" t="s">
        <v>47</v>
      </c>
      <c r="K4">
        <f>'Механика подсчета результатов'!T2</f>
        <v>14</v>
      </c>
    </row>
    <row r="5" spans="2:11" ht="14.4" x14ac:dyDescent="0.3">
      <c r="B5" s="109"/>
      <c r="C5" s="109"/>
      <c r="D5" s="109"/>
      <c r="E5" s="109"/>
      <c r="F5" s="109"/>
      <c r="G5" s="109"/>
      <c r="H5" s="109"/>
      <c r="J5" t="s">
        <v>40</v>
      </c>
      <c r="K5">
        <f>'Механика подсчета результатов'!U2</f>
        <v>34</v>
      </c>
    </row>
    <row r="6" spans="2:11" ht="14.4" x14ac:dyDescent="0.3">
      <c r="B6" s="109"/>
      <c r="C6" s="109"/>
      <c r="D6" s="109"/>
      <c r="E6" s="109"/>
      <c r="F6" s="109"/>
      <c r="G6" s="109"/>
      <c r="H6" s="109"/>
    </row>
    <row r="7" spans="2:11" ht="14.4" x14ac:dyDescent="0.3">
      <c r="B7" s="109"/>
      <c r="C7" s="109"/>
      <c r="D7" s="109"/>
      <c r="E7" s="109"/>
      <c r="F7" s="109"/>
      <c r="G7" s="109"/>
      <c r="H7" s="109"/>
    </row>
    <row r="8" spans="2:11" ht="14.4" x14ac:dyDescent="0.3">
      <c r="B8" s="109"/>
      <c r="C8" s="109"/>
      <c r="D8" s="109"/>
      <c r="E8" s="109"/>
      <c r="F8" s="109"/>
      <c r="G8" s="109"/>
      <c r="H8" s="109"/>
    </row>
    <row r="9" spans="2:11" ht="14.4" x14ac:dyDescent="0.3">
      <c r="B9" s="109">
        <f>'1. Вводная часть отчета'!B4</f>
        <v>0</v>
      </c>
      <c r="C9" s="109"/>
      <c r="D9" s="109"/>
      <c r="E9" s="109"/>
      <c r="F9" s="109"/>
      <c r="G9" s="109"/>
      <c r="H9" s="109"/>
    </row>
    <row r="10" spans="2:11" ht="14.4" x14ac:dyDescent="0.3">
      <c r="B10" s="109"/>
      <c r="C10" s="109"/>
      <c r="D10" s="109"/>
      <c r="E10" s="109"/>
      <c r="F10" s="109"/>
      <c r="G10" s="109"/>
      <c r="H10" s="109"/>
    </row>
    <row r="11" spans="2:11" ht="14.4" x14ac:dyDescent="0.3">
      <c r="B11" s="109"/>
      <c r="C11" s="109"/>
      <c r="D11" s="109"/>
      <c r="E11" s="109"/>
      <c r="F11" s="109"/>
      <c r="G11" s="109"/>
      <c r="H11" s="109"/>
    </row>
    <row r="12" spans="2:11" ht="14.4" x14ac:dyDescent="0.3">
      <c r="B12" s="109"/>
      <c r="C12" s="109"/>
      <c r="D12" s="109"/>
      <c r="E12" s="109"/>
      <c r="F12" s="109"/>
      <c r="G12" s="109"/>
      <c r="H12" s="109"/>
    </row>
    <row r="13" spans="2:11" ht="14.4" x14ac:dyDescent="0.3">
      <c r="B13" s="109"/>
      <c r="C13" s="109"/>
      <c r="D13" s="109"/>
      <c r="E13" s="109"/>
      <c r="F13" s="109"/>
      <c r="G13" s="109"/>
      <c r="H13" s="109"/>
    </row>
    <row r="15" spans="2:11" ht="27.75" customHeight="1" x14ac:dyDescent="0.35">
      <c r="B15" s="108" t="s">
        <v>159</v>
      </c>
      <c r="C15" s="108"/>
      <c r="D15" s="108"/>
      <c r="E15" s="108"/>
      <c r="F15" s="108"/>
      <c r="G15" s="108"/>
      <c r="H15" s="108"/>
    </row>
    <row r="16" spans="2:11" ht="14.4" x14ac:dyDescent="0.3">
      <c r="B16" s="62" t="s">
        <v>162</v>
      </c>
    </row>
    <row r="17" spans="2:8" ht="14.4" x14ac:dyDescent="0.3">
      <c r="B17" s="63" t="s">
        <v>163</v>
      </c>
    </row>
    <row r="18" spans="2:8" ht="14.4" x14ac:dyDescent="0.3">
      <c r="B18" s="60" t="s">
        <v>153</v>
      </c>
    </row>
    <row r="19" spans="2:8" ht="14.4" x14ac:dyDescent="0.3">
      <c r="B19" s="61" t="s">
        <v>155</v>
      </c>
    </row>
    <row r="30" spans="2:8" ht="17.25" customHeight="1" x14ac:dyDescent="0.35">
      <c r="B30" s="112" t="str">
        <f>"Ваш ведущий стиль человекоцентричного лидерства — "&amp;'Механика подсчета результатов'!S20&amp;" ("&amp;'Механика подсчета результатов'!S21&amp;" баллов из 98)"</f>
        <v>Ваш ведущий стиль человекоцентричного лидерства — Целеустремленный (34 баллов из 98)</v>
      </c>
      <c r="C30" s="112"/>
      <c r="D30" s="112"/>
      <c r="E30" s="112"/>
      <c r="F30" s="112"/>
      <c r="G30" s="112"/>
      <c r="H30" s="112"/>
    </row>
    <row r="32" spans="2:8" ht="14.4" x14ac:dyDescent="0.3">
      <c r="B32" s="109" t="e">
        <f>IF('Механика подсчета результатов'!S20="Командный",#REF!, IF( 'Механика подсчета результатов'!S20="Целеустремленный",#REF!, IF( 'Механика подсчета результатов'!S20="Вдохновляющий",#REF!, IF( 'Механика подсчета результатов'!S20="Процессный",#REF!, ""))))</f>
        <v>#REF!</v>
      </c>
      <c r="C32" s="109"/>
      <c r="D32" s="109"/>
      <c r="E32" s="109"/>
      <c r="F32" s="109"/>
      <c r="G32" s="109"/>
      <c r="H32" s="109"/>
    </row>
    <row r="33" spans="2:8" ht="14.4" x14ac:dyDescent="0.3">
      <c r="B33" s="109"/>
      <c r="C33" s="109"/>
      <c r="D33" s="109"/>
      <c r="E33" s="109"/>
      <c r="F33" s="109"/>
      <c r="G33" s="109"/>
      <c r="H33" s="109"/>
    </row>
    <row r="34" spans="2:8" ht="14.4" x14ac:dyDescent="0.3">
      <c r="B34" s="109"/>
      <c r="C34" s="109"/>
      <c r="D34" s="109"/>
      <c r="E34" s="109"/>
      <c r="F34" s="109"/>
      <c r="G34" s="109"/>
      <c r="H34" s="109"/>
    </row>
    <row r="35" spans="2:8" ht="14.4" x14ac:dyDescent="0.3">
      <c r="B35" s="109"/>
      <c r="C35" s="109"/>
      <c r="D35" s="109"/>
      <c r="E35" s="109"/>
      <c r="F35" s="109"/>
      <c r="G35" s="109"/>
      <c r="H35" s="109"/>
    </row>
    <row r="36" spans="2:8" ht="14.4" x14ac:dyDescent="0.3">
      <c r="B36" s="110"/>
      <c r="C36" s="110"/>
      <c r="D36" s="110"/>
      <c r="E36" s="110"/>
      <c r="F36" s="110"/>
      <c r="G36" s="110"/>
      <c r="H36" s="110"/>
    </row>
    <row r="37" spans="2:8" ht="14.4" x14ac:dyDescent="0.3">
      <c r="B37" s="110"/>
      <c r="C37" s="110"/>
      <c r="D37" s="110"/>
      <c r="E37" s="110"/>
      <c r="F37" s="110"/>
      <c r="G37" s="110"/>
      <c r="H37" s="110"/>
    </row>
    <row r="38" spans="2:8" ht="14.4" x14ac:dyDescent="0.3">
      <c r="B38" s="110"/>
      <c r="C38" s="110"/>
      <c r="D38" s="110"/>
      <c r="E38" s="110"/>
      <c r="F38" s="110"/>
      <c r="G38" s="110"/>
      <c r="H38" s="110"/>
    </row>
    <row r="39" spans="2:8" ht="14.4" x14ac:dyDescent="0.3">
      <c r="B39" s="110"/>
      <c r="C39" s="110"/>
      <c r="D39" s="110"/>
      <c r="E39" s="110"/>
      <c r="F39" s="110"/>
      <c r="G39" s="110"/>
      <c r="H39" s="110"/>
    </row>
    <row r="40" spans="2:8" ht="14.4" x14ac:dyDescent="0.3">
      <c r="B40" s="110"/>
      <c r="C40" s="110"/>
      <c r="D40" s="110"/>
      <c r="E40" s="110"/>
      <c r="F40" s="110"/>
      <c r="G40" s="110"/>
      <c r="H40" s="110"/>
    </row>
    <row r="42" spans="2:8" ht="27.75" customHeight="1" x14ac:dyDescent="0.35">
      <c r="B42" s="108" t="s">
        <v>160</v>
      </c>
      <c r="C42" s="108"/>
      <c r="D42" s="108"/>
      <c r="E42" s="108"/>
      <c r="F42" s="108"/>
      <c r="G42" s="108"/>
      <c r="H42" s="108"/>
    </row>
    <row r="43" spans="2:8" ht="14.4" x14ac:dyDescent="0.3">
      <c r="B43" s="115" t="s">
        <v>161</v>
      </c>
      <c r="C43" s="115"/>
      <c r="D43" s="115"/>
      <c r="E43" s="115"/>
      <c r="F43" s="115"/>
      <c r="G43" s="115"/>
      <c r="H43" s="115"/>
    </row>
    <row r="45" spans="2:8" ht="14.4" x14ac:dyDescent="0.3">
      <c r="B45" s="114" t="s">
        <v>162</v>
      </c>
      <c r="C45" s="114"/>
      <c r="D45" s="114"/>
      <c r="E45" s="114"/>
      <c r="F45" s="114"/>
      <c r="G45" s="114"/>
      <c r="H45" s="114"/>
    </row>
    <row r="46" spans="2:8" ht="14.4" x14ac:dyDescent="0.3">
      <c r="B46" s="109" t="e">
        <f>#REF!</f>
        <v>#REF!</v>
      </c>
      <c r="C46" s="109"/>
      <c r="D46" s="109"/>
      <c r="E46" s="109"/>
      <c r="F46" s="109"/>
      <c r="G46" s="109"/>
      <c r="H46" s="109"/>
    </row>
    <row r="47" spans="2:8" ht="14.4" x14ac:dyDescent="0.3">
      <c r="B47" s="109"/>
      <c r="C47" s="109"/>
      <c r="D47" s="109"/>
      <c r="E47" s="109"/>
      <c r="F47" s="109"/>
      <c r="G47" s="109"/>
      <c r="H47" s="109"/>
    </row>
    <row r="48" spans="2:8" ht="14.4" x14ac:dyDescent="0.3">
      <c r="B48" s="109"/>
      <c r="C48" s="109"/>
      <c r="D48" s="109"/>
      <c r="E48" s="109"/>
      <c r="F48" s="109"/>
      <c r="G48" s="109"/>
      <c r="H48" s="109"/>
    </row>
    <row r="49" spans="2:8" ht="14.4" x14ac:dyDescent="0.3">
      <c r="G49" s="64" t="s">
        <v>164</v>
      </c>
    </row>
    <row r="50" spans="2:8" ht="14.4" x14ac:dyDescent="0.3">
      <c r="B50" s="113" t="s">
        <v>163</v>
      </c>
      <c r="C50" s="113"/>
      <c r="D50" s="113"/>
      <c r="E50" s="113"/>
      <c r="F50" s="113"/>
      <c r="G50" s="113"/>
      <c r="H50" s="113"/>
    </row>
    <row r="51" spans="2:8" ht="14.4" x14ac:dyDescent="0.3">
      <c r="B51" s="109" t="e">
        <f>#REF!</f>
        <v>#REF!</v>
      </c>
      <c r="C51" s="109"/>
      <c r="D51" s="109"/>
      <c r="E51" s="109"/>
      <c r="F51" s="109"/>
      <c r="G51" s="109"/>
      <c r="H51" s="109"/>
    </row>
    <row r="52" spans="2:8" ht="14.4" x14ac:dyDescent="0.3">
      <c r="B52" s="109"/>
      <c r="C52" s="109"/>
      <c r="D52" s="109"/>
      <c r="E52" s="109"/>
      <c r="F52" s="109"/>
      <c r="G52" s="109"/>
      <c r="H52" s="109"/>
    </row>
    <row r="53" spans="2:8" ht="14.4" x14ac:dyDescent="0.3">
      <c r="B53" s="110"/>
      <c r="C53" s="110"/>
      <c r="D53" s="110"/>
      <c r="E53" s="110"/>
      <c r="F53" s="110"/>
      <c r="G53" s="110"/>
      <c r="H53" s="110"/>
    </row>
    <row r="54" spans="2:8" ht="14.4" x14ac:dyDescent="0.3">
      <c r="G54" s="64" t="s">
        <v>164</v>
      </c>
    </row>
    <row r="55" spans="2:8" ht="14.4" x14ac:dyDescent="0.3">
      <c r="B55" s="119" t="s">
        <v>153</v>
      </c>
      <c r="C55" s="119"/>
      <c r="D55" s="119"/>
      <c r="E55" s="119"/>
      <c r="F55" s="119"/>
      <c r="G55" s="119"/>
      <c r="H55" s="119"/>
    </row>
    <row r="56" spans="2:8" ht="14.4" x14ac:dyDescent="0.3">
      <c r="B56" s="109" t="e">
        <f>#REF!</f>
        <v>#REF!</v>
      </c>
      <c r="C56" s="109"/>
      <c r="D56" s="109"/>
      <c r="E56" s="109"/>
      <c r="F56" s="109"/>
      <c r="G56" s="109"/>
      <c r="H56" s="109"/>
    </row>
    <row r="57" spans="2:8" ht="14.4" x14ac:dyDescent="0.3">
      <c r="B57" s="109"/>
      <c r="C57" s="109"/>
      <c r="D57" s="109"/>
      <c r="E57" s="109"/>
      <c r="F57" s="109"/>
      <c r="G57" s="109"/>
      <c r="H57" s="109"/>
    </row>
    <row r="58" spans="2:8" ht="14.4" x14ac:dyDescent="0.3">
      <c r="B58" s="109"/>
      <c r="C58" s="109"/>
      <c r="D58" s="109"/>
      <c r="E58" s="109"/>
      <c r="F58" s="109"/>
      <c r="G58" s="109"/>
      <c r="H58" s="109"/>
    </row>
    <row r="59" spans="2:8" ht="14.4" x14ac:dyDescent="0.3">
      <c r="G59" s="64" t="s">
        <v>164</v>
      </c>
    </row>
    <row r="60" spans="2:8" ht="14.4" x14ac:dyDescent="0.3">
      <c r="B60" s="118" t="s">
        <v>155</v>
      </c>
      <c r="C60" s="118"/>
      <c r="D60" s="118"/>
      <c r="E60" s="118"/>
      <c r="F60" s="118"/>
      <c r="G60" s="118"/>
      <c r="H60" s="118"/>
    </row>
    <row r="61" spans="2:8" ht="14.4" x14ac:dyDescent="0.3">
      <c r="B61" s="109" t="e">
        <f>#REF!</f>
        <v>#REF!</v>
      </c>
      <c r="C61" s="109"/>
      <c r="D61" s="109"/>
      <c r="E61" s="109"/>
      <c r="F61" s="109"/>
      <c r="G61" s="109"/>
      <c r="H61" s="109"/>
    </row>
    <row r="62" spans="2:8" ht="14.4" x14ac:dyDescent="0.3">
      <c r="B62" s="110"/>
      <c r="C62" s="110"/>
      <c r="D62" s="110"/>
      <c r="E62" s="110"/>
      <c r="F62" s="110"/>
      <c r="G62" s="110"/>
      <c r="H62" s="110"/>
    </row>
    <row r="63" spans="2:8" ht="14.4" x14ac:dyDescent="0.3">
      <c r="B63" s="110"/>
      <c r="C63" s="110"/>
      <c r="D63" s="109"/>
      <c r="E63" s="109"/>
      <c r="F63" s="109"/>
      <c r="G63" s="109"/>
      <c r="H63" s="109"/>
    </row>
    <row r="64" spans="2:8" ht="14.4" x14ac:dyDescent="0.3">
      <c r="G64" s="64" t="s">
        <v>164</v>
      </c>
    </row>
    <row r="65" spans="2:8" ht="14.4" hidden="1" outlineLevel="1" x14ac:dyDescent="0.3">
      <c r="B65" s="116" t="e">
        <f>#REF!</f>
        <v>#REF!</v>
      </c>
      <c r="C65" s="116"/>
      <c r="D65" s="116"/>
      <c r="E65" s="116"/>
      <c r="F65" s="116"/>
      <c r="G65" s="116"/>
      <c r="H65" s="116"/>
    </row>
    <row r="66" spans="2:8" ht="14.4" hidden="1" outlineLevel="1" x14ac:dyDescent="0.3">
      <c r="B66" s="117"/>
      <c r="C66" s="117"/>
      <c r="D66" s="117"/>
      <c r="E66" s="117"/>
      <c r="F66" s="117"/>
      <c r="G66" s="117"/>
      <c r="H66" s="117"/>
    </row>
    <row r="67" spans="2:8" ht="14.4" hidden="1" outlineLevel="1" x14ac:dyDescent="0.3">
      <c r="B67" s="117"/>
      <c r="C67" s="117"/>
      <c r="D67" s="117"/>
      <c r="E67" s="117"/>
      <c r="F67" s="116"/>
      <c r="G67" s="116"/>
      <c r="H67" s="116"/>
    </row>
    <row r="68" spans="2:8" ht="14.4" hidden="1" outlineLevel="1" x14ac:dyDescent="0.3">
      <c r="B68" s="117"/>
      <c r="C68" s="117"/>
      <c r="D68" s="117"/>
      <c r="E68" s="117"/>
      <c r="F68" s="117"/>
      <c r="G68" s="117"/>
      <c r="H68" s="117"/>
    </row>
    <row r="69" spans="2:8" ht="14.4" hidden="1" outlineLevel="1" x14ac:dyDescent="0.3">
      <c r="B69" s="117"/>
      <c r="C69" s="117"/>
      <c r="D69" s="117"/>
      <c r="E69" s="117"/>
      <c r="F69" s="117"/>
      <c r="G69" s="117"/>
      <c r="H69" s="116"/>
    </row>
    <row r="70" spans="2:8" ht="14.4" hidden="1" outlineLevel="1" x14ac:dyDescent="0.3">
      <c r="B70" s="117"/>
      <c r="C70" s="117"/>
      <c r="D70" s="117"/>
      <c r="E70" s="116"/>
      <c r="F70" s="116"/>
      <c r="G70" s="116"/>
      <c r="H70" s="116"/>
    </row>
    <row r="71" spans="2:8" ht="14.4" hidden="1" outlineLevel="1" x14ac:dyDescent="0.3">
      <c r="B71" s="117"/>
      <c r="C71" s="117"/>
      <c r="D71" s="117"/>
      <c r="E71" s="117"/>
      <c r="F71" s="117"/>
      <c r="G71" s="117"/>
      <c r="H71" s="117"/>
    </row>
    <row r="73" spans="2:8" ht="14.4" hidden="1" outlineLevel="1" x14ac:dyDescent="0.3">
      <c r="B73" s="116" t="e">
        <f>#REF!</f>
        <v>#REF!</v>
      </c>
      <c r="C73" s="116"/>
      <c r="D73" s="116"/>
      <c r="E73" s="116"/>
      <c r="F73" s="116"/>
      <c r="G73" s="116"/>
      <c r="H73" s="116"/>
    </row>
    <row r="74" spans="2:8" ht="14.4" hidden="1" outlineLevel="1" x14ac:dyDescent="0.3">
      <c r="B74" s="116"/>
      <c r="C74" s="116"/>
      <c r="D74" s="116"/>
      <c r="E74" s="116"/>
      <c r="F74" s="116"/>
      <c r="G74" s="116"/>
      <c r="H74" s="116"/>
    </row>
    <row r="75" spans="2:8" ht="14.4" hidden="1" outlineLevel="1" x14ac:dyDescent="0.3">
      <c r="B75" s="116"/>
      <c r="C75" s="116"/>
      <c r="D75" s="116"/>
      <c r="E75" s="116"/>
      <c r="F75" s="116"/>
      <c r="G75" s="116"/>
      <c r="H75" s="116"/>
    </row>
    <row r="76" spans="2:8" ht="14.4" hidden="1" outlineLevel="1" x14ac:dyDescent="0.3">
      <c r="B76" s="116"/>
      <c r="C76" s="116"/>
      <c r="D76" s="116"/>
      <c r="E76" s="116"/>
      <c r="F76" s="116"/>
      <c r="G76" s="116"/>
      <c r="H76" s="116"/>
    </row>
    <row r="77" spans="2:8" ht="14.4" hidden="1" outlineLevel="1" x14ac:dyDescent="0.3">
      <c r="B77" s="116"/>
      <c r="C77" s="116"/>
      <c r="D77" s="116"/>
      <c r="E77" s="116"/>
      <c r="F77" s="116"/>
      <c r="G77" s="116"/>
      <c r="H77" s="116"/>
    </row>
    <row r="78" spans="2:8" ht="14.4" hidden="1" outlineLevel="1" x14ac:dyDescent="0.3">
      <c r="B78" s="116"/>
      <c r="C78" s="116"/>
      <c r="D78" s="116"/>
      <c r="E78" s="116"/>
      <c r="F78" s="116"/>
      <c r="G78" s="116"/>
      <c r="H78" s="116"/>
    </row>
    <row r="79" spans="2:8" ht="14.4" hidden="1" outlineLevel="1" x14ac:dyDescent="0.3">
      <c r="B79" s="116"/>
      <c r="C79" s="116"/>
      <c r="D79" s="116"/>
      <c r="E79" s="116"/>
      <c r="F79" s="116"/>
      <c r="G79" s="116"/>
      <c r="H79" s="116"/>
    </row>
    <row r="81" spans="2:8" ht="14.4" hidden="1" outlineLevel="1" x14ac:dyDescent="0.3">
      <c r="B81" s="116" t="e">
        <f>#REF!</f>
        <v>#REF!</v>
      </c>
      <c r="C81" s="116"/>
      <c r="D81" s="116"/>
      <c r="E81" s="116"/>
      <c r="F81" s="116"/>
      <c r="G81" s="116"/>
      <c r="H81" s="116"/>
    </row>
    <row r="82" spans="2:8" ht="14.4" hidden="1" outlineLevel="1" x14ac:dyDescent="0.3">
      <c r="B82" s="116"/>
      <c r="C82" s="116"/>
      <c r="D82" s="116"/>
      <c r="E82" s="116"/>
      <c r="F82" s="116"/>
      <c r="G82" s="116"/>
      <c r="H82" s="116"/>
    </row>
    <row r="83" spans="2:8" ht="14.4" hidden="1" outlineLevel="1" x14ac:dyDescent="0.3">
      <c r="B83" s="116"/>
      <c r="C83" s="116"/>
      <c r="D83" s="116"/>
      <c r="E83" s="116"/>
      <c r="F83" s="116"/>
      <c r="G83" s="116"/>
      <c r="H83" s="116"/>
    </row>
    <row r="84" spans="2:8" ht="14.4" hidden="1" outlineLevel="1" x14ac:dyDescent="0.3">
      <c r="B84" s="116"/>
      <c r="C84" s="116"/>
      <c r="D84" s="116"/>
      <c r="E84" s="116"/>
      <c r="F84" s="116"/>
      <c r="G84" s="116"/>
      <c r="H84" s="116"/>
    </row>
    <row r="85" spans="2:8" ht="14.4" hidden="1" outlineLevel="1" x14ac:dyDescent="0.3">
      <c r="B85" s="116"/>
      <c r="C85" s="116"/>
      <c r="D85" s="116"/>
      <c r="E85" s="116"/>
      <c r="F85" s="116"/>
      <c r="G85" s="116"/>
      <c r="H85" s="116"/>
    </row>
    <row r="86" spans="2:8" ht="14.4" hidden="1" outlineLevel="1" x14ac:dyDescent="0.3">
      <c r="B86" s="116"/>
      <c r="C86" s="116"/>
      <c r="D86" s="116"/>
      <c r="E86" s="116"/>
      <c r="F86" s="116"/>
      <c r="G86" s="116"/>
      <c r="H86" s="116"/>
    </row>
    <row r="87" spans="2:8" ht="14.4" hidden="1" outlineLevel="1" x14ac:dyDescent="0.3">
      <c r="B87" s="116"/>
      <c r="C87" s="116"/>
      <c r="D87" s="116"/>
      <c r="E87" s="116"/>
      <c r="F87" s="116"/>
      <c r="G87" s="116"/>
      <c r="H87" s="116"/>
    </row>
    <row r="89" spans="2:8" ht="14.4" hidden="1" outlineLevel="1" x14ac:dyDescent="0.3">
      <c r="B89" s="116" t="e">
        <f>#REF!</f>
        <v>#REF!</v>
      </c>
      <c r="C89" s="116"/>
      <c r="D89" s="116"/>
      <c r="E89" s="116"/>
      <c r="F89" s="116"/>
      <c r="G89" s="116"/>
      <c r="H89" s="116"/>
    </row>
    <row r="90" spans="2:8" ht="14.4" hidden="1" outlineLevel="1" x14ac:dyDescent="0.3">
      <c r="B90" s="116"/>
      <c r="C90" s="116"/>
      <c r="D90" s="116"/>
      <c r="E90" s="116"/>
      <c r="F90" s="116"/>
      <c r="G90" s="116"/>
      <c r="H90" s="116"/>
    </row>
    <row r="91" spans="2:8" ht="14.4" hidden="1" outlineLevel="1" x14ac:dyDescent="0.3">
      <c r="B91" s="116"/>
      <c r="C91" s="116"/>
      <c r="D91" s="116"/>
      <c r="E91" s="116"/>
      <c r="F91" s="116"/>
      <c r="G91" s="116"/>
      <c r="H91" s="116"/>
    </row>
    <row r="92" spans="2:8" ht="14.4" hidden="1" outlineLevel="1" x14ac:dyDescent="0.3">
      <c r="B92" s="116"/>
      <c r="C92" s="116"/>
      <c r="D92" s="116"/>
      <c r="E92" s="116"/>
      <c r="F92" s="116"/>
      <c r="G92" s="116"/>
      <c r="H92" s="116"/>
    </row>
    <row r="93" spans="2:8" ht="14.4" hidden="1" outlineLevel="1" x14ac:dyDescent="0.3">
      <c r="B93" s="116"/>
      <c r="C93" s="116"/>
      <c r="D93" s="116"/>
      <c r="E93" s="116"/>
      <c r="F93" s="116"/>
      <c r="G93" s="116"/>
      <c r="H93" s="116"/>
    </row>
    <row r="94" spans="2:8" ht="14.4" hidden="1" outlineLevel="1" x14ac:dyDescent="0.3">
      <c r="B94" s="116"/>
      <c r="C94" s="116"/>
      <c r="D94" s="116"/>
      <c r="E94" s="116"/>
      <c r="F94" s="116"/>
      <c r="G94" s="116"/>
      <c r="H94" s="116"/>
    </row>
    <row r="95" spans="2:8" ht="14.4" hidden="1" outlineLevel="1" x14ac:dyDescent="0.3">
      <c r="B95" s="116"/>
      <c r="C95" s="116"/>
      <c r="D95" s="116"/>
      <c r="E95" s="116"/>
      <c r="F95" s="116"/>
      <c r="G95" s="116"/>
      <c r="H95" s="116"/>
    </row>
    <row r="110" spans="2:8" ht="27.75" customHeight="1" x14ac:dyDescent="0.35">
      <c r="B110" s="108" t="s">
        <v>154</v>
      </c>
      <c r="C110" s="108"/>
      <c r="D110" s="108"/>
      <c r="E110" s="108"/>
      <c r="F110" s="108"/>
      <c r="G110" s="108"/>
      <c r="H110" s="108"/>
    </row>
    <row r="111" spans="2:8" ht="14.4" x14ac:dyDescent="0.3">
      <c r="B111" s="109" t="str">
        <f>IF('Механика подсчета результатов'!S20="Командный", '3. Рекомендации по вед стилю '!B9, IF('Механика подсчета результатов'!S20="Целеустремленный", '3. Рекомендации по вед стилю '!B3, IF('Механика подсчета результатов'!S20="Вдохновляющий", '3. Рекомендации по вед стилю '!B6, IF('Механика подсчета результатов'!S20="Процессный", '3. Рекомендации по вед стилю '!B12, ""))))</f>
        <v>дополнить для усиления, чтобы из характеристик других стилей были рекомендации
Коллеги, может быть 1-2 практикума еще рекомендуем на каждый стиль?</v>
      </c>
      <c r="C111" s="109"/>
      <c r="D111" s="109"/>
      <c r="E111" s="109"/>
      <c r="F111" s="109"/>
      <c r="G111" s="109"/>
      <c r="H111" s="109"/>
    </row>
    <row r="112" spans="2:8" ht="14.4" x14ac:dyDescent="0.3">
      <c r="B112" s="109"/>
      <c r="C112" s="109"/>
      <c r="D112" s="109"/>
      <c r="E112" s="109"/>
      <c r="F112" s="109"/>
      <c r="G112" s="109"/>
      <c r="H112" s="109"/>
    </row>
    <row r="113" spans="2:8" ht="14.4" x14ac:dyDescent="0.3">
      <c r="B113" s="109"/>
      <c r="C113" s="109"/>
      <c r="D113" s="109"/>
      <c r="E113" s="109"/>
      <c r="F113" s="109"/>
      <c r="G113" s="109"/>
      <c r="H113" s="109"/>
    </row>
    <row r="114" spans="2:8" ht="14.4" x14ac:dyDescent="0.3">
      <c r="B114" s="109"/>
      <c r="C114" s="109"/>
      <c r="D114" s="109"/>
      <c r="E114" s="109"/>
      <c r="F114" s="109"/>
      <c r="G114" s="109"/>
      <c r="H114" s="109"/>
    </row>
    <row r="115" spans="2:8" ht="14.4" x14ac:dyDescent="0.3">
      <c r="B115" s="109"/>
      <c r="C115" s="109"/>
      <c r="D115" s="109"/>
      <c r="E115" s="109"/>
      <c r="F115" s="109"/>
      <c r="G115" s="109"/>
      <c r="H115" s="109"/>
    </row>
    <row r="116" spans="2:8" ht="14.4" x14ac:dyDescent="0.3">
      <c r="B116" s="109"/>
      <c r="C116" s="109"/>
      <c r="D116" s="109"/>
      <c r="E116" s="109"/>
      <c r="F116" s="109"/>
      <c r="G116" s="109"/>
      <c r="H116" s="109"/>
    </row>
    <row r="117" spans="2:8" ht="14.4" x14ac:dyDescent="0.3">
      <c r="B117" s="109"/>
      <c r="C117" s="109"/>
      <c r="D117" s="109"/>
      <c r="E117" s="109"/>
      <c r="F117" s="109"/>
      <c r="G117" s="109"/>
      <c r="H117" s="109"/>
    </row>
    <row r="118" spans="2:8" ht="14.4" x14ac:dyDescent="0.3">
      <c r="B118" s="109"/>
      <c r="C118" s="109"/>
      <c r="D118" s="109"/>
      <c r="E118" s="109"/>
      <c r="F118" s="109"/>
      <c r="G118" s="109"/>
      <c r="H118" s="109"/>
    </row>
    <row r="119" spans="2:8" ht="14.4" x14ac:dyDescent="0.3">
      <c r="B119" s="109"/>
      <c r="C119" s="109"/>
      <c r="D119" s="109"/>
      <c r="E119" s="109"/>
      <c r="F119" s="109"/>
      <c r="G119" s="109"/>
      <c r="H119" s="109"/>
    </row>
    <row r="120" spans="2:8" ht="14.4" x14ac:dyDescent="0.3">
      <c r="B120" s="109"/>
      <c r="C120" s="109"/>
      <c r="D120" s="109"/>
      <c r="E120" s="109"/>
      <c r="F120" s="109"/>
      <c r="G120" s="109"/>
      <c r="H120" s="109"/>
    </row>
    <row r="121" spans="2:8" ht="14.4" x14ac:dyDescent="0.3">
      <c r="B121" s="109"/>
      <c r="C121" s="109"/>
      <c r="D121" s="109"/>
      <c r="E121" s="109"/>
      <c r="F121" s="109"/>
      <c r="G121" s="109"/>
      <c r="H121" s="109"/>
    </row>
    <row r="122" spans="2:8" ht="14.4" x14ac:dyDescent="0.3">
      <c r="B122" s="109"/>
      <c r="C122" s="109"/>
      <c r="D122" s="109"/>
      <c r="E122" s="109"/>
      <c r="F122" s="109"/>
      <c r="G122" s="109"/>
      <c r="H122" s="109"/>
    </row>
    <row r="123" spans="2:8" ht="14.4" x14ac:dyDescent="0.3">
      <c r="B123" s="110"/>
      <c r="C123" s="110"/>
      <c r="D123" s="110"/>
      <c r="E123" s="110"/>
      <c r="F123" s="110"/>
      <c r="G123" s="110"/>
      <c r="H123" s="110"/>
    </row>
    <row r="124" spans="2:8" ht="14.4" x14ac:dyDescent="0.3">
      <c r="B124" s="110"/>
      <c r="C124" s="110"/>
      <c r="D124" s="110"/>
      <c r="E124" s="110"/>
      <c r="F124" s="110"/>
      <c r="G124" s="110"/>
      <c r="H124" s="110"/>
    </row>
    <row r="125" spans="2:8" ht="14.4" x14ac:dyDescent="0.3">
      <c r="B125" s="110"/>
      <c r="C125" s="110"/>
      <c r="D125" s="110"/>
      <c r="E125" s="110"/>
      <c r="F125" s="110"/>
      <c r="G125" s="110"/>
      <c r="H125" s="110"/>
    </row>
    <row r="126" spans="2:8" ht="14.4" x14ac:dyDescent="0.3">
      <c r="B126" s="110"/>
      <c r="C126" s="110"/>
      <c r="D126" s="110"/>
      <c r="E126" s="110"/>
      <c r="F126" s="110"/>
      <c r="G126" s="110"/>
      <c r="H126" s="110"/>
    </row>
    <row r="127" spans="2:8" ht="14.4" x14ac:dyDescent="0.3">
      <c r="B127" s="110"/>
      <c r="C127" s="110"/>
      <c r="D127" s="110"/>
      <c r="E127" s="110"/>
      <c r="F127" s="110"/>
      <c r="G127" s="110"/>
      <c r="H127" s="110"/>
    </row>
    <row r="128" spans="2:8" ht="14.4" x14ac:dyDescent="0.3">
      <c r="B128" s="110"/>
      <c r="C128" s="110"/>
      <c r="D128" s="110"/>
      <c r="E128" s="110"/>
      <c r="F128" s="110"/>
      <c r="G128" s="110"/>
      <c r="H128" s="110"/>
    </row>
    <row r="129" spans="2:8" ht="14.4" x14ac:dyDescent="0.3">
      <c r="B129" s="110"/>
      <c r="C129" s="110"/>
      <c r="D129" s="110"/>
      <c r="E129" s="110"/>
      <c r="F129" s="110"/>
      <c r="G129" s="110"/>
      <c r="H129" s="110"/>
    </row>
    <row r="130" spans="2:8" ht="14.4" x14ac:dyDescent="0.3">
      <c r="B130" s="110"/>
      <c r="C130" s="109"/>
      <c r="D130" s="109"/>
      <c r="E130" s="109"/>
      <c r="F130" s="109"/>
      <c r="G130" s="109"/>
      <c r="H130" s="109"/>
    </row>
    <row r="131" spans="2:8" ht="14.4" x14ac:dyDescent="0.3">
      <c r="B131" s="109"/>
      <c r="C131" s="109"/>
      <c r="D131" s="109"/>
      <c r="E131" s="109"/>
      <c r="F131" s="109"/>
      <c r="G131" s="109"/>
      <c r="H131" s="109"/>
    </row>
    <row r="132" spans="2:8" ht="14.4" x14ac:dyDescent="0.3">
      <c r="B132" s="110"/>
      <c r="C132" s="110"/>
      <c r="D132" s="110"/>
      <c r="E132" s="110"/>
      <c r="F132" s="110"/>
      <c r="G132" s="110"/>
      <c r="H132" s="110"/>
    </row>
    <row r="133" spans="2:8" ht="14.4" x14ac:dyDescent="0.3">
      <c r="B133" s="110"/>
      <c r="C133" s="110"/>
      <c r="D133" s="110"/>
      <c r="E133" s="110"/>
      <c r="F133" s="110"/>
      <c r="G133" s="110"/>
      <c r="H133" s="110"/>
    </row>
    <row r="134" spans="2:8" ht="14.4" x14ac:dyDescent="0.3">
      <c r="B134" s="110"/>
      <c r="C134" s="110"/>
      <c r="D134" s="110"/>
      <c r="E134" s="110"/>
      <c r="F134" s="110"/>
      <c r="G134" s="110"/>
      <c r="H134" s="110"/>
    </row>
    <row r="135" spans="2:8" ht="14.4" x14ac:dyDescent="0.3">
      <c r="B135" s="110"/>
      <c r="C135" s="110"/>
      <c r="D135" s="110"/>
      <c r="E135" s="110"/>
      <c r="F135" s="110"/>
      <c r="G135" s="110"/>
      <c r="H135" s="110"/>
    </row>
    <row r="136" spans="2:8" ht="14.4" x14ac:dyDescent="0.3">
      <c r="B136" s="110"/>
      <c r="C136" s="110"/>
      <c r="D136" s="110"/>
      <c r="E136" s="110"/>
      <c r="F136" s="110"/>
      <c r="G136" s="110"/>
      <c r="H136" s="110"/>
    </row>
    <row r="137" spans="2:8" ht="14.4" x14ac:dyDescent="0.3">
      <c r="B137" s="110"/>
      <c r="C137" s="110"/>
      <c r="D137" s="110"/>
      <c r="E137" s="110"/>
      <c r="F137" s="110"/>
      <c r="G137" s="110"/>
      <c r="H137" s="110"/>
    </row>
    <row r="138" spans="2:8" ht="14.4" x14ac:dyDescent="0.3">
      <c r="B138" s="110"/>
      <c r="C138" s="110"/>
      <c r="D138" s="110"/>
      <c r="E138" s="110"/>
      <c r="F138" s="110"/>
      <c r="G138" s="110"/>
      <c r="H138" s="109"/>
    </row>
    <row r="139" spans="2:8" ht="14.4" x14ac:dyDescent="0.3">
      <c r="B139" s="109"/>
      <c r="C139" s="109"/>
      <c r="D139" s="109"/>
      <c r="E139" s="109"/>
      <c r="F139" s="109"/>
      <c r="G139" s="109"/>
      <c r="H139" s="109"/>
    </row>
    <row r="140" spans="2:8" ht="14.4" x14ac:dyDescent="0.3">
      <c r="B140" s="109"/>
      <c r="C140" s="109"/>
      <c r="D140" s="109"/>
      <c r="E140" s="109"/>
      <c r="F140" s="109"/>
      <c r="G140" s="109"/>
      <c r="H140" s="109"/>
    </row>
  </sheetData>
  <mergeCells count="23">
    <mergeCell ref="B111:H140"/>
    <mergeCell ref="B110:H110"/>
    <mergeCell ref="B81:H87"/>
    <mergeCell ref="B89:H95"/>
    <mergeCell ref="B73:H79"/>
    <mergeCell ref="B65:H71"/>
    <mergeCell ref="B61:H63"/>
    <mergeCell ref="B60:H60"/>
    <mergeCell ref="B56:H58"/>
    <mergeCell ref="B55:H55"/>
    <mergeCell ref="B51:H53"/>
    <mergeCell ref="B50:H50"/>
    <mergeCell ref="B46:H48"/>
    <mergeCell ref="B45:H45"/>
    <mergeCell ref="B43:H43"/>
    <mergeCell ref="B42:H42"/>
    <mergeCell ref="B32:H40"/>
    <mergeCell ref="B1:H1"/>
    <mergeCell ref="B3:H3"/>
    <mergeCell ref="B4:H8"/>
    <mergeCell ref="B30:H30"/>
    <mergeCell ref="B9:H13"/>
    <mergeCell ref="B15:H15"/>
  </mergeCells>
  <pageMargins left="0.70000004768371582" right="0.70000004768371582" top="0.75" bottom="0.75" header="0.5118110179901123" footer="0.5118110179901123"/>
  <pageSetup paperSize="9" fitToWidth="0" fitToHeight="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70"/>
  <sheetViews>
    <sheetView topLeftCell="A96" workbookViewId="0">
      <selection activeCell="E128" sqref="E128"/>
    </sheetView>
  </sheetViews>
  <sheetFormatPr defaultColWidth="160" defaultRowHeight="14.25" customHeight="1" outlineLevelRow="5" x14ac:dyDescent="0.3"/>
  <cols>
    <col min="1" max="1" width="2.33203125" style="5" customWidth="1"/>
    <col min="2" max="9" width="16.33203125" customWidth="1"/>
    <col min="10" max="10" width="14.6640625" customWidth="1"/>
    <col min="11" max="12" width="160" hidden="1" bestFit="1" customWidth="1"/>
    <col min="14" max="14" width="14.6640625" customWidth="1"/>
    <col min="15" max="15" width="10.6640625" customWidth="1"/>
    <col min="22" max="22" width="160" hidden="1" bestFit="1" customWidth="1"/>
  </cols>
  <sheetData>
    <row r="1" spans="2:16" ht="25.5" customHeight="1" x14ac:dyDescent="0.3">
      <c r="B1" s="120" t="s">
        <v>165</v>
      </c>
      <c r="C1" s="121"/>
      <c r="D1" s="122"/>
      <c r="E1" s="123"/>
      <c r="F1" s="124"/>
      <c r="G1" s="125"/>
      <c r="H1" s="126"/>
      <c r="I1" s="127"/>
      <c r="J1" s="128"/>
      <c r="M1" s="5"/>
      <c r="N1" s="5" t="s">
        <v>156</v>
      </c>
      <c r="O1" s="5" t="s">
        <v>157</v>
      </c>
      <c r="P1" s="5"/>
    </row>
    <row r="2" spans="2:16" ht="25.5" customHeight="1" x14ac:dyDescent="0.3">
      <c r="B2" s="129"/>
      <c r="C2" s="130"/>
      <c r="D2" s="130"/>
      <c r="E2" s="130"/>
      <c r="F2" s="130"/>
      <c r="G2" s="130"/>
      <c r="H2" s="130"/>
      <c r="I2" s="130"/>
      <c r="J2" s="131"/>
      <c r="M2" s="5"/>
      <c r="N2" s="5" t="s">
        <v>45</v>
      </c>
      <c r="O2" s="5">
        <f>'Механика подсчета результатов'!R2</f>
        <v>34</v>
      </c>
      <c r="P2" s="5"/>
    </row>
    <row r="3" spans="2:16" ht="14.4" x14ac:dyDescent="0.3">
      <c r="B3" s="65"/>
      <c r="C3" s="66"/>
      <c r="D3" s="66"/>
      <c r="E3" s="66"/>
      <c r="F3" s="66"/>
      <c r="G3" s="66"/>
      <c r="H3" s="66"/>
      <c r="I3" s="66"/>
      <c r="J3" s="67"/>
      <c r="M3" s="5"/>
      <c r="N3" s="5" t="s">
        <v>51</v>
      </c>
      <c r="O3" s="5">
        <f>'Механика подсчета результатов'!S2</f>
        <v>16</v>
      </c>
      <c r="P3" s="5"/>
    </row>
    <row r="4" spans="2:16" ht="30" customHeight="1" x14ac:dyDescent="0.3">
      <c r="B4" s="139" t="s">
        <v>167</v>
      </c>
      <c r="C4" s="140"/>
      <c r="D4" s="140"/>
      <c r="E4" s="140"/>
      <c r="F4" s="140"/>
      <c r="G4" s="140"/>
      <c r="H4" s="140"/>
      <c r="I4" s="140"/>
      <c r="J4" s="141"/>
      <c r="M4" s="5"/>
      <c r="N4" s="5" t="s">
        <v>47</v>
      </c>
      <c r="O4" s="5">
        <f>'Механика подсчета результатов'!T2</f>
        <v>14</v>
      </c>
      <c r="P4" s="5"/>
    </row>
    <row r="5" spans="2:16" ht="12" customHeight="1" x14ac:dyDescent="0.3">
      <c r="B5" s="142" t="str">
        <f>'1. Вводная часть отчета'!A2</f>
        <v xml:space="preserve">Поздравляем вас с завершением теста! Теперь можно познакомиться с результатами.
Данный отчет отображает результаты, полученные при прохождении теста. Тест предназначен для определения ведущего стиля, с помощью которого вы проявляете человеокцентричность. Цель отчета- выявить ваш наиболее предпочитаемый стиль и дать рекомендации по усилению человекоцентричной культуры в вашей команде.
Персональный отчет состоит из нескольких блоков:
-Введение
-Ваши результаты
-Характеристика других стилей
-Рекомендации по развитию вашего стиля человекоцентричного лидерства
</v>
      </c>
      <c r="C5" s="143"/>
      <c r="D5" s="144"/>
      <c r="E5" s="145"/>
      <c r="F5" s="146"/>
      <c r="G5" s="147"/>
      <c r="H5" s="148"/>
      <c r="I5" s="149"/>
      <c r="J5" s="150"/>
      <c r="M5" s="5"/>
      <c r="N5" s="5" t="s">
        <v>40</v>
      </c>
      <c r="O5" s="5">
        <f>'Механика подсчета результатов'!U2</f>
        <v>34</v>
      </c>
      <c r="P5" s="5"/>
    </row>
    <row r="6" spans="2:16" ht="162" customHeight="1" x14ac:dyDescent="0.3">
      <c r="B6" s="151"/>
      <c r="C6" s="152"/>
      <c r="D6" s="152"/>
      <c r="E6" s="152"/>
      <c r="F6" s="152"/>
      <c r="G6" s="152"/>
      <c r="H6" s="152"/>
      <c r="I6" s="152"/>
      <c r="J6" s="153"/>
      <c r="M6" s="5"/>
      <c r="N6" s="5"/>
      <c r="O6" s="5"/>
      <c r="P6" s="5"/>
    </row>
    <row r="7" spans="2:16" ht="14.4" hidden="1" x14ac:dyDescent="0.3">
      <c r="B7" s="154"/>
      <c r="C7" s="152"/>
      <c r="D7" s="152"/>
      <c r="E7" s="152"/>
      <c r="F7" s="152"/>
      <c r="G7" s="152"/>
      <c r="H7" s="152"/>
      <c r="I7" s="152"/>
      <c r="J7" s="155"/>
      <c r="M7" s="5"/>
      <c r="N7" s="5"/>
      <c r="O7" s="5"/>
      <c r="P7" s="5"/>
    </row>
    <row r="8" spans="2:16" ht="14.4" hidden="1" x14ac:dyDescent="0.3">
      <c r="B8" s="156"/>
      <c r="C8" s="152"/>
      <c r="D8" s="152"/>
      <c r="E8" s="152"/>
      <c r="F8" s="152"/>
      <c r="G8" s="152"/>
      <c r="H8" s="152"/>
      <c r="I8" s="152"/>
      <c r="J8" s="157"/>
      <c r="M8" s="5"/>
      <c r="N8" s="5"/>
      <c r="O8" s="5"/>
      <c r="P8" s="5"/>
    </row>
    <row r="9" spans="2:16" ht="14.4" hidden="1" x14ac:dyDescent="0.3">
      <c r="B9" s="158"/>
      <c r="C9" s="152"/>
      <c r="D9" s="152"/>
      <c r="E9" s="152"/>
      <c r="F9" s="152"/>
      <c r="G9" s="152"/>
      <c r="H9" s="152"/>
      <c r="I9" s="152"/>
      <c r="J9" s="159"/>
      <c r="M9" s="5"/>
      <c r="N9" s="5"/>
      <c r="O9" s="5"/>
      <c r="P9" s="5"/>
    </row>
    <row r="10" spans="2:16" ht="14.4" hidden="1" x14ac:dyDescent="0.3">
      <c r="B10" s="160"/>
      <c r="C10" s="152"/>
      <c r="D10" s="152"/>
      <c r="E10" s="152"/>
      <c r="F10" s="152"/>
      <c r="G10" s="152"/>
      <c r="H10" s="152"/>
      <c r="I10" s="152"/>
      <c r="J10" s="161"/>
      <c r="M10" s="5"/>
      <c r="N10" s="5"/>
      <c r="O10" s="5"/>
      <c r="P10" s="5"/>
    </row>
    <row r="11" spans="2:16" ht="14.4" hidden="1" x14ac:dyDescent="0.3">
      <c r="B11" s="162"/>
      <c r="C11" s="163"/>
      <c r="D11" s="164"/>
      <c r="E11" s="165"/>
      <c r="F11" s="166"/>
      <c r="G11" s="167"/>
      <c r="H11" s="168"/>
      <c r="I11" s="169"/>
      <c r="J11" s="170"/>
      <c r="M11" s="5"/>
      <c r="N11" s="5"/>
      <c r="O11" s="5"/>
      <c r="P11" s="5"/>
    </row>
    <row r="12" spans="2:16" ht="27.75" customHeight="1" x14ac:dyDescent="0.3">
      <c r="B12" s="65"/>
      <c r="C12" s="66"/>
      <c r="D12" s="66"/>
      <c r="E12" s="66"/>
      <c r="F12" s="66"/>
      <c r="G12" s="66"/>
      <c r="H12" s="66"/>
      <c r="I12" s="66"/>
      <c r="J12" s="67"/>
      <c r="M12" s="5"/>
      <c r="N12" s="5"/>
      <c r="O12" s="5"/>
      <c r="P12" s="5"/>
    </row>
    <row r="13" spans="2:16" ht="30" customHeight="1" x14ac:dyDescent="0.3">
      <c r="B13" s="132" t="s">
        <v>130</v>
      </c>
      <c r="C13" s="133"/>
      <c r="D13" s="133"/>
      <c r="E13" s="133"/>
      <c r="F13" s="133"/>
      <c r="G13" s="133"/>
      <c r="H13" s="133"/>
      <c r="I13" s="133"/>
      <c r="J13" s="171"/>
      <c r="M13" s="5"/>
      <c r="N13" s="5"/>
      <c r="O13" s="5"/>
      <c r="P13" s="5"/>
    </row>
    <row r="14" spans="2:16" ht="14.4" x14ac:dyDescent="0.3">
      <c r="B14" s="142" t="str">
        <f>'1. Вводная часть отчета'!A4</f>
        <v>Инструмент диагностики "Тест на определение ведущего стиля человекоцентричного лидерства" создан на основе:
- Модели "Человекоцентричного лидерства в Ростелекоме", 
- Модели Р.Лайкерта "Фокус на людей"- "Фокус на задачи",
- Теории цикла командного взаимодействия.
Что такое человекоцентричное лидерство? - Это подход в управлении, где центром является человек: клиент, подчиненный, коллега, руководитель-все, с кем взаимодействует лидер в организации. Модель ЧЛ опирается на четыре вектора: Культура, Лидер, Процессы и практики, Стратегия. Каждому вектору соответствует определенный стиль. 
Важно: данный тест не направлен на выявление целегового или желательного уровня\индекса человекоцентричности. Он способствует понимаю лидера особенностей своего стиля, а также ситуаций, в которых данный стиль будет предпочтителен, а где стоит применять другие подходы.</v>
      </c>
      <c r="C14" s="172"/>
      <c r="D14" s="173"/>
      <c r="E14" s="174"/>
      <c r="F14" s="175"/>
      <c r="G14" s="176"/>
      <c r="H14" s="177"/>
      <c r="I14" s="178"/>
      <c r="J14" s="179"/>
      <c r="M14" s="5"/>
      <c r="N14" s="5"/>
      <c r="O14" s="5"/>
      <c r="P14" s="5"/>
    </row>
    <row r="15" spans="2:16" ht="14.4" x14ac:dyDescent="0.3">
      <c r="B15" s="180"/>
      <c r="C15" s="152"/>
      <c r="D15" s="152"/>
      <c r="E15" s="152"/>
      <c r="F15" s="152"/>
      <c r="G15" s="152"/>
      <c r="H15" s="152"/>
      <c r="I15" s="152"/>
      <c r="J15" s="181"/>
      <c r="M15" s="5"/>
      <c r="N15" s="5"/>
      <c r="O15" s="5"/>
      <c r="P15" s="5"/>
    </row>
    <row r="16" spans="2:16" ht="14.4" x14ac:dyDescent="0.3">
      <c r="B16" s="182"/>
      <c r="C16" s="152"/>
      <c r="D16" s="152"/>
      <c r="E16" s="152"/>
      <c r="F16" s="152"/>
      <c r="G16" s="152"/>
      <c r="H16" s="152"/>
      <c r="I16" s="152"/>
      <c r="J16" s="183"/>
      <c r="M16" s="5"/>
      <c r="N16" s="5"/>
      <c r="O16" s="5"/>
      <c r="P16" s="5"/>
    </row>
    <row r="17" spans="2:16" ht="14.4" x14ac:dyDescent="0.3">
      <c r="B17" s="184"/>
      <c r="C17" s="152"/>
      <c r="D17" s="152"/>
      <c r="E17" s="152"/>
      <c r="F17" s="152"/>
      <c r="G17" s="152"/>
      <c r="H17" s="152"/>
      <c r="I17" s="152"/>
      <c r="J17" s="185"/>
      <c r="M17" s="5"/>
      <c r="N17" s="5"/>
      <c r="O17" s="5"/>
      <c r="P17" s="5"/>
    </row>
    <row r="18" spans="2:16" ht="14.4" x14ac:dyDescent="0.3">
      <c r="B18" s="186"/>
      <c r="C18" s="152"/>
      <c r="D18" s="152"/>
      <c r="E18" s="152"/>
      <c r="F18" s="152"/>
      <c r="G18" s="152"/>
      <c r="H18" s="152"/>
      <c r="I18" s="152"/>
      <c r="J18" s="187"/>
      <c r="M18" s="5"/>
      <c r="N18" s="5"/>
      <c r="O18" s="5"/>
      <c r="P18" s="5"/>
    </row>
    <row r="19" spans="2:16" ht="14.4" x14ac:dyDescent="0.3">
      <c r="B19" s="188"/>
      <c r="C19" s="152"/>
      <c r="D19" s="152"/>
      <c r="E19" s="152"/>
      <c r="F19" s="152"/>
      <c r="G19" s="152"/>
      <c r="H19" s="152"/>
      <c r="I19" s="152"/>
      <c r="J19" s="189"/>
      <c r="M19" s="5"/>
      <c r="N19" s="5"/>
      <c r="O19" s="5"/>
      <c r="P19" s="5"/>
    </row>
    <row r="20" spans="2:16" ht="14.4" x14ac:dyDescent="0.3">
      <c r="B20" s="190"/>
      <c r="C20" s="152"/>
      <c r="D20" s="152"/>
      <c r="E20" s="152"/>
      <c r="F20" s="152"/>
      <c r="G20" s="152"/>
      <c r="H20" s="152"/>
      <c r="I20" s="152"/>
      <c r="J20" s="191"/>
      <c r="M20" s="5"/>
      <c r="N20" s="5"/>
      <c r="O20" s="5"/>
      <c r="P20" s="5"/>
    </row>
    <row r="21" spans="2:16" ht="30" customHeight="1" x14ac:dyDescent="0.3">
      <c r="B21" s="192"/>
      <c r="C21" s="152"/>
      <c r="D21" s="152"/>
      <c r="E21" s="152"/>
      <c r="F21" s="152"/>
      <c r="G21" s="152"/>
      <c r="H21" s="152"/>
      <c r="I21" s="152"/>
      <c r="J21" s="193"/>
      <c r="M21" s="5"/>
      <c r="N21" s="5"/>
      <c r="O21" s="5"/>
      <c r="P21" s="5"/>
    </row>
    <row r="22" spans="2:16" ht="37.5" customHeight="1" x14ac:dyDescent="0.3">
      <c r="B22" s="194"/>
      <c r="C22" s="195"/>
      <c r="D22" s="196"/>
      <c r="E22" s="197"/>
      <c r="F22" s="198"/>
      <c r="G22" s="199"/>
      <c r="H22" s="200"/>
      <c r="I22" s="201"/>
      <c r="J22" s="202"/>
      <c r="M22" s="5"/>
      <c r="N22" s="5"/>
      <c r="O22" s="5"/>
      <c r="P22" s="5"/>
    </row>
    <row r="23" spans="2:16" ht="14.4" x14ac:dyDescent="0.3">
      <c r="B23" s="65"/>
      <c r="C23" s="66"/>
      <c r="D23" s="66"/>
      <c r="E23" s="66"/>
      <c r="F23" s="66"/>
      <c r="G23" s="66"/>
      <c r="H23" s="66"/>
      <c r="I23" s="66"/>
      <c r="J23" s="67"/>
      <c r="M23" s="5"/>
      <c r="N23" s="5"/>
      <c r="O23" s="5"/>
      <c r="P23" s="5"/>
    </row>
    <row r="24" spans="2:16" ht="30" customHeight="1" x14ac:dyDescent="0.3">
      <c r="B24" s="132" t="s">
        <v>168</v>
      </c>
      <c r="C24" s="133"/>
      <c r="D24" s="133"/>
      <c r="E24" s="133"/>
      <c r="F24" s="133"/>
      <c r="G24" s="133"/>
      <c r="H24" s="133"/>
      <c r="I24" s="133"/>
      <c r="J24" s="134"/>
      <c r="M24" s="5"/>
      <c r="N24" s="5"/>
      <c r="O24" s="5"/>
      <c r="P24" s="5"/>
    </row>
    <row r="25" spans="2:16" ht="14.4" x14ac:dyDescent="0.3">
      <c r="B25" s="211" t="s">
        <v>162</v>
      </c>
      <c r="C25" s="212"/>
      <c r="D25" s="137" t="s">
        <v>163</v>
      </c>
      <c r="E25" s="138"/>
      <c r="F25" s="209" t="s">
        <v>153</v>
      </c>
      <c r="G25" s="210"/>
      <c r="H25" s="135" t="s">
        <v>155</v>
      </c>
      <c r="I25" s="136"/>
      <c r="J25" s="67"/>
      <c r="M25" s="5"/>
      <c r="N25" s="5"/>
      <c r="O25" s="5"/>
      <c r="P25" s="5"/>
    </row>
    <row r="26" spans="2:16" ht="30.75" customHeight="1" x14ac:dyDescent="0.6">
      <c r="B26" s="206">
        <f>'Механика подсчета результатов'!R2</f>
        <v>34</v>
      </c>
      <c r="C26" s="207"/>
      <c r="D26" s="203">
        <f>'Механика подсчета результатов'!S2</f>
        <v>16</v>
      </c>
      <c r="E26" s="208"/>
      <c r="F26" s="203">
        <f>'Механика подсчета результатов'!T2</f>
        <v>14</v>
      </c>
      <c r="G26" s="204"/>
      <c r="H26" s="203">
        <f>'Механика подсчета результатов'!U2</f>
        <v>34</v>
      </c>
      <c r="I26" s="205"/>
      <c r="J26" s="67"/>
      <c r="M26" s="5"/>
      <c r="N26" s="5"/>
      <c r="O26" s="5"/>
      <c r="P26" s="5"/>
    </row>
    <row r="27" spans="2:16" ht="15" customHeight="1" x14ac:dyDescent="0.3">
      <c r="B27" s="216" t="s">
        <v>171</v>
      </c>
      <c r="C27" s="217"/>
      <c r="D27" s="218" t="s">
        <v>171</v>
      </c>
      <c r="E27" s="219"/>
      <c r="F27" s="218" t="s">
        <v>171</v>
      </c>
      <c r="G27" s="220"/>
      <c r="H27" s="218" t="s">
        <v>171</v>
      </c>
      <c r="I27" s="221"/>
      <c r="J27" s="67"/>
      <c r="M27" s="5"/>
      <c r="N27" s="5"/>
      <c r="O27" s="5"/>
      <c r="P27" s="5"/>
    </row>
    <row r="28" spans="2:16" ht="14.4" x14ac:dyDescent="0.3">
      <c r="B28" s="65"/>
      <c r="C28" s="66"/>
      <c r="D28" s="66"/>
      <c r="E28" s="66"/>
      <c r="F28" s="66"/>
      <c r="G28" s="66"/>
      <c r="H28" s="66"/>
      <c r="I28" s="66"/>
      <c r="J28" s="67"/>
      <c r="M28" s="5"/>
      <c r="N28" s="5"/>
      <c r="O28" s="5"/>
      <c r="P28" s="5"/>
    </row>
    <row r="29" spans="2:16" ht="15" customHeight="1" x14ac:dyDescent="0.35">
      <c r="B29" s="213" t="str">
        <f>"🏆 Ваш ведущий стиль: "&amp;'Механика подсчета результатов'!S20&amp;" ("&amp;'Механика подсчета результатов'!S21&amp;" баллов)"</f>
        <v>🏆 Ваш ведущий стиль: Целеустремленный (34 баллов)</v>
      </c>
      <c r="C29" s="214"/>
      <c r="D29" s="214"/>
      <c r="E29" s="214"/>
      <c r="F29" s="214"/>
      <c r="G29" s="214"/>
      <c r="H29" s="214"/>
      <c r="I29" s="214"/>
      <c r="J29" s="215"/>
      <c r="M29" s="5"/>
      <c r="N29" s="5"/>
      <c r="O29" s="5"/>
      <c r="P29" s="5"/>
    </row>
    <row r="30" spans="2:16" ht="27.75" customHeight="1" x14ac:dyDescent="0.3">
      <c r="B30" s="65"/>
      <c r="C30" s="66"/>
      <c r="D30" s="66"/>
      <c r="E30" s="66"/>
      <c r="F30" s="66"/>
      <c r="G30" s="66"/>
      <c r="H30" s="66"/>
      <c r="I30" s="66"/>
      <c r="J30" s="67"/>
      <c r="M30" s="5"/>
      <c r="N30" s="5"/>
      <c r="O30" s="5"/>
      <c r="P30" s="5"/>
    </row>
    <row r="31" spans="2:16" ht="240.75" customHeight="1" x14ac:dyDescent="0.3">
      <c r="B31" s="65"/>
      <c r="C31" s="66"/>
      <c r="D31" s="66"/>
      <c r="E31" s="66"/>
      <c r="F31" s="66"/>
      <c r="G31" s="66"/>
      <c r="H31" s="66"/>
      <c r="I31" s="66"/>
      <c r="J31" s="67"/>
      <c r="M31" s="68" t="s">
        <v>173</v>
      </c>
      <c r="N31" s="5"/>
      <c r="O31" s="5"/>
      <c r="P31" s="5"/>
    </row>
    <row r="32" spans="2:16" ht="30" customHeight="1" x14ac:dyDescent="0.3">
      <c r="B32" s="132" t="s">
        <v>172</v>
      </c>
      <c r="C32" s="133"/>
      <c r="D32" s="133"/>
      <c r="E32" s="133"/>
      <c r="F32" s="133"/>
      <c r="G32" s="133"/>
      <c r="H32" s="133"/>
      <c r="I32" s="133"/>
      <c r="J32" s="275"/>
      <c r="M32" s="5"/>
      <c r="N32" s="5"/>
      <c r="O32" s="5"/>
      <c r="P32" s="5"/>
    </row>
    <row r="33" spans="2:16" ht="14.4" x14ac:dyDescent="0.3">
      <c r="B33" s="142" t="str">
        <f>CHOOSE('Механика подсчета результатов'!V2, '2. Харак-ка стилей'!A3, '2. Харак-ка стилей'!A6, '2. Харак-ка стилей'!A9, '2. Харак-ка стилей'!A12)</f>
        <v>Характеристика:
Данный стиль ориентирован на результат и создание ценности для клиентов. Вектор в модели человекоцентричности- Стратегия. Приоритеты — цели, достижения, своевременные решения, создание ценности для клиента и общества.
Целеустремлённый лидер проявляет человекоцентричность через ясность целей и достижение результата, который приносит ценность клиенту и обществу. Лидер, придерживающийся этого подхода, фокусируется на показателях, контроле выполнения задач и достижении поставленных целей. Для него важно — давать команде понятный смысл работы: мы создаём результат, который важен людям — нашим клиентам.
Сильные стороны:
- Ориентация на создание ценности для клиента и общества;
- Быстрые и качественные решения в условиях неопределённости;
- Умение удерживать фокус и выделять приоритеты
- Ясность целей и измеримый результат.
Как данный стиль влияет на человекоцентричную культуру в Компании:
Ваш ведущий стиль формирует культуру ответственности за результат и осмысленной работы «не ради цифры, а ради пользы». Лидер транслирует связь задач команды с ценностью для клиента и общества, показывая, что особенно важно давать ясные ориентиры, понятные показатели, четкие планы и всегда синхронизироваться с тем, как то, что делает команда, будет приносить пользу Компании и клиентам.
Ваш стиль человекоцентричности эффективен в ситуациях, если:
- нужно быстро принять решение и сфокусировать команду на приоритетах в условиях неопределённости;
- команде важно понять, как её работа создаёт ценность для клиента и общества, в том числе в долгосрочной перспективе;
- в команде много задач/проектов и нужна ясность целей, сроков и измеримого результата;
- возник риск нарушения сроков и нужно оперативно перераспределить нагрузку, сохраняя качество решений.
Ваш стиль человекоцентричности менее эффективен в ситуациях, если:
- нужно сфокусироваться на построении отношений и взаимопонимания внутри команды;
- требуется пересмотр и упрощение бизнес-процессов;
- команде необходимо выделить время и ресурс на индивидуальные траектории развития компетенций.</v>
      </c>
      <c r="C33" s="229"/>
      <c r="D33" s="230"/>
      <c r="E33" s="231"/>
      <c r="F33" s="232"/>
      <c r="G33" s="233"/>
      <c r="H33" s="234"/>
      <c r="I33" s="235"/>
      <c r="J33" s="236"/>
      <c r="M33" s="5"/>
      <c r="N33" s="5"/>
      <c r="O33" s="5"/>
      <c r="P33" s="5"/>
    </row>
    <row r="34" spans="2:16" ht="14.4" x14ac:dyDescent="0.3">
      <c r="B34" s="237"/>
      <c r="C34" s="152"/>
      <c r="D34" s="152"/>
      <c r="E34" s="152"/>
      <c r="F34" s="152"/>
      <c r="G34" s="152"/>
      <c r="H34" s="152"/>
      <c r="I34" s="152"/>
      <c r="J34" s="238"/>
      <c r="M34" s="5"/>
      <c r="N34" s="5"/>
      <c r="O34" s="5"/>
      <c r="P34" s="5"/>
    </row>
    <row r="35" spans="2:16" ht="14.4" x14ac:dyDescent="0.3">
      <c r="B35" s="239"/>
      <c r="C35" s="152"/>
      <c r="D35" s="152"/>
      <c r="E35" s="152"/>
      <c r="F35" s="152"/>
      <c r="G35" s="152"/>
      <c r="H35" s="152"/>
      <c r="I35" s="152"/>
      <c r="J35" s="240"/>
      <c r="M35" s="5"/>
      <c r="N35" s="5"/>
      <c r="O35" s="5"/>
      <c r="P35" s="5"/>
    </row>
    <row r="36" spans="2:16" ht="14.4" x14ac:dyDescent="0.3">
      <c r="B36" s="241"/>
      <c r="C36" s="152"/>
      <c r="D36" s="152"/>
      <c r="E36" s="152"/>
      <c r="F36" s="152"/>
      <c r="G36" s="152"/>
      <c r="H36" s="152"/>
      <c r="I36" s="152"/>
      <c r="J36" s="242"/>
      <c r="M36" s="5"/>
      <c r="N36" s="5"/>
      <c r="O36" s="5"/>
      <c r="P36" s="5"/>
    </row>
    <row r="37" spans="2:16" ht="14.4" x14ac:dyDescent="0.3">
      <c r="B37" s="243"/>
      <c r="C37" s="152"/>
      <c r="D37" s="152"/>
      <c r="E37" s="152"/>
      <c r="F37" s="152"/>
      <c r="G37" s="152"/>
      <c r="H37" s="152"/>
      <c r="I37" s="152"/>
      <c r="J37" s="244"/>
      <c r="M37" s="5"/>
      <c r="N37" s="5"/>
      <c r="O37" s="5"/>
      <c r="P37" s="5"/>
    </row>
    <row r="38" spans="2:16" ht="30" customHeight="1" x14ac:dyDescent="0.3">
      <c r="B38" s="245"/>
      <c r="C38" s="152"/>
      <c r="D38" s="152"/>
      <c r="E38" s="152"/>
      <c r="F38" s="152"/>
      <c r="G38" s="152"/>
      <c r="H38" s="152"/>
      <c r="I38" s="152"/>
      <c r="J38" s="246"/>
      <c r="M38" s="5"/>
      <c r="N38" s="5"/>
      <c r="O38" s="5"/>
      <c r="P38" s="5"/>
    </row>
    <row r="39" spans="2:16" ht="14.4" x14ac:dyDescent="0.3">
      <c r="B39" s="247"/>
      <c r="C39" s="152"/>
      <c r="D39" s="152"/>
      <c r="E39" s="152"/>
      <c r="F39" s="152"/>
      <c r="G39" s="152"/>
      <c r="H39" s="152"/>
      <c r="I39" s="152"/>
      <c r="J39" s="248"/>
      <c r="M39" s="5"/>
      <c r="N39" s="5"/>
      <c r="O39" s="5"/>
      <c r="P39" s="5"/>
    </row>
    <row r="40" spans="2:16" ht="14.4" x14ac:dyDescent="0.3">
      <c r="B40" s="249"/>
      <c r="C40" s="152"/>
      <c r="D40" s="152"/>
      <c r="E40" s="152"/>
      <c r="F40" s="152"/>
      <c r="G40" s="152"/>
      <c r="H40" s="152"/>
      <c r="I40" s="152"/>
      <c r="J40" s="250"/>
      <c r="M40" s="5"/>
      <c r="N40" s="5"/>
      <c r="O40" s="5"/>
      <c r="P40" s="5"/>
    </row>
    <row r="41" spans="2:16" ht="14.4" x14ac:dyDescent="0.3">
      <c r="B41" s="251"/>
      <c r="C41" s="152"/>
      <c r="D41" s="152"/>
      <c r="E41" s="152"/>
      <c r="F41" s="152"/>
      <c r="G41" s="152"/>
      <c r="H41" s="152"/>
      <c r="I41" s="152"/>
      <c r="J41" s="252"/>
      <c r="M41" s="5"/>
      <c r="N41" s="5"/>
      <c r="O41" s="5"/>
      <c r="P41" s="5"/>
    </row>
    <row r="42" spans="2:16" ht="14.4" x14ac:dyDescent="0.3">
      <c r="B42" s="253"/>
      <c r="C42" s="152"/>
      <c r="D42" s="152"/>
      <c r="E42" s="152"/>
      <c r="F42" s="152"/>
      <c r="G42" s="152"/>
      <c r="H42" s="152"/>
      <c r="I42" s="152"/>
      <c r="J42" s="254"/>
      <c r="M42" s="5"/>
      <c r="N42" s="5"/>
      <c r="O42" s="5"/>
      <c r="P42" s="5"/>
    </row>
    <row r="43" spans="2:16" ht="14.4" x14ac:dyDescent="0.3">
      <c r="B43" s="255"/>
      <c r="C43" s="256"/>
      <c r="D43" s="256"/>
      <c r="E43" s="256"/>
      <c r="F43" s="256"/>
      <c r="G43" s="256"/>
      <c r="H43" s="256"/>
      <c r="I43" s="256"/>
      <c r="J43" s="257"/>
      <c r="M43" s="5"/>
      <c r="N43" s="5"/>
      <c r="O43" s="5"/>
      <c r="P43" s="5"/>
    </row>
    <row r="44" spans="2:16" ht="206.25" customHeight="1" x14ac:dyDescent="0.3">
      <c r="B44" s="258"/>
      <c r="C44" s="256"/>
      <c r="D44" s="256"/>
      <c r="E44" s="256"/>
      <c r="F44" s="256"/>
      <c r="G44" s="256"/>
      <c r="H44" s="256"/>
      <c r="I44" s="256"/>
      <c r="J44" s="259"/>
      <c r="M44" s="5"/>
      <c r="N44" s="5"/>
      <c r="O44" s="5"/>
      <c r="P44" s="5"/>
    </row>
    <row r="45" spans="2:16" ht="4.8" customHeight="1" outlineLevel="1" x14ac:dyDescent="0.3">
      <c r="B45" s="260"/>
      <c r="C45" s="256"/>
      <c r="D45" s="256"/>
      <c r="E45" s="256"/>
      <c r="F45" s="256"/>
      <c r="G45" s="256"/>
      <c r="H45" s="256"/>
      <c r="I45" s="256"/>
      <c r="J45" s="261"/>
      <c r="M45" s="5"/>
      <c r="N45" s="5"/>
      <c r="O45" s="5"/>
      <c r="P45" s="5"/>
    </row>
    <row r="46" spans="2:16" ht="13.8" hidden="1" customHeight="1" outlineLevel="1" x14ac:dyDescent="0.3">
      <c r="B46" s="262"/>
      <c r="C46" s="256"/>
      <c r="D46" s="256"/>
      <c r="E46" s="256"/>
      <c r="F46" s="256"/>
      <c r="G46" s="256"/>
      <c r="H46" s="256"/>
      <c r="I46" s="256"/>
      <c r="J46" s="263"/>
      <c r="M46" s="5"/>
      <c r="N46" s="5"/>
      <c r="O46" s="5"/>
      <c r="P46" s="5"/>
    </row>
    <row r="47" spans="2:16" ht="27.6" hidden="1" customHeight="1" outlineLevel="1" x14ac:dyDescent="0.3">
      <c r="B47" s="264"/>
      <c r="C47" s="256"/>
      <c r="D47" s="256"/>
      <c r="E47" s="256"/>
      <c r="F47" s="256"/>
      <c r="G47" s="256"/>
      <c r="H47" s="256"/>
      <c r="I47" s="256"/>
      <c r="J47" s="265"/>
      <c r="M47" s="5"/>
      <c r="N47" s="5"/>
      <c r="O47" s="5"/>
      <c r="P47" s="5"/>
    </row>
    <row r="48" spans="2:16" ht="13.8" hidden="1" customHeight="1" outlineLevel="1" x14ac:dyDescent="0.3">
      <c r="B48" s="266"/>
      <c r="C48" s="267"/>
      <c r="D48" s="268"/>
      <c r="E48" s="269"/>
      <c r="F48" s="270"/>
      <c r="G48" s="271"/>
      <c r="H48" s="272"/>
      <c r="I48" s="273"/>
      <c r="J48" s="274"/>
      <c r="M48" s="5"/>
      <c r="N48" s="5"/>
      <c r="O48" s="5"/>
      <c r="P48" s="5"/>
    </row>
    <row r="49" spans="2:16" ht="14.25" customHeight="1" outlineLevel="1" x14ac:dyDescent="0.3">
      <c r="B49" s="65"/>
      <c r="C49" s="66"/>
      <c r="D49" s="66"/>
      <c r="E49" s="66"/>
      <c r="F49" s="66"/>
      <c r="G49" s="66"/>
      <c r="H49" s="66"/>
      <c r="I49" s="66"/>
      <c r="J49" s="67"/>
      <c r="M49" s="5"/>
      <c r="N49" s="5"/>
      <c r="O49" s="5"/>
      <c r="P49" s="5"/>
    </row>
    <row r="50" spans="2:16" ht="30" customHeight="1" outlineLevel="1" x14ac:dyDescent="0.3">
      <c r="B50" s="132" t="s">
        <v>169</v>
      </c>
      <c r="C50" s="133"/>
      <c r="D50" s="133"/>
      <c r="E50" s="133"/>
      <c r="F50" s="133"/>
      <c r="G50" s="133"/>
      <c r="H50" s="133"/>
      <c r="I50" s="133"/>
      <c r="J50" s="228"/>
      <c r="M50" s="5"/>
      <c r="N50" s="5"/>
      <c r="O50" s="5"/>
      <c r="P50" s="5"/>
    </row>
    <row r="51" spans="2:16" ht="14.25" customHeight="1" outlineLevel="1" x14ac:dyDescent="0.3">
      <c r="B51" s="225" t="s">
        <v>170</v>
      </c>
      <c r="C51" s="226"/>
      <c r="D51" s="226"/>
      <c r="E51" s="226"/>
      <c r="F51" s="226"/>
      <c r="G51" s="226"/>
      <c r="H51" s="226"/>
      <c r="I51" s="226"/>
      <c r="J51" s="227"/>
      <c r="M51" s="5"/>
      <c r="N51" s="5"/>
      <c r="O51" s="5"/>
      <c r="P51" s="5"/>
    </row>
    <row r="52" spans="2:16" ht="14.4" x14ac:dyDescent="0.3">
      <c r="B52" s="65"/>
      <c r="C52" s="66"/>
      <c r="D52" s="66"/>
      <c r="E52" s="66"/>
      <c r="F52" s="66"/>
      <c r="G52" s="66"/>
      <c r="H52" s="66"/>
      <c r="I52" s="66"/>
      <c r="J52" s="67"/>
      <c r="M52" s="5"/>
      <c r="N52" s="5"/>
      <c r="O52" s="5"/>
      <c r="P52" s="5"/>
    </row>
    <row r="53" spans="2:16" ht="23.25" customHeight="1" x14ac:dyDescent="0.3">
      <c r="B53" s="222" t="str">
        <f>INDEX('2. Харак-ка стилей'!A:A, CHOOSE('Механика подсчета результатов'!V2, 6, 3, 3, 3)-1)</f>
        <v>Стиль "Вдохновляющий"</v>
      </c>
      <c r="C53" s="223"/>
      <c r="D53" s="223"/>
      <c r="E53" s="223"/>
      <c r="F53" s="223"/>
      <c r="G53" s="223"/>
      <c r="H53" s="223"/>
      <c r="I53" s="223"/>
      <c r="J53" s="224"/>
      <c r="M53" s="5"/>
      <c r="N53" s="5"/>
      <c r="O53" s="5"/>
      <c r="P53" s="5"/>
    </row>
    <row r="54" spans="2:16" ht="23.25" customHeight="1" outlineLevel="1" x14ac:dyDescent="0.3">
      <c r="B54" s="142" t="str">
        <f>LEFT(INDEX('2. Харак-ка стилей'!A:A, CHOOSE('Механика подсчета результатов'!V2, 6, 3, 3, 3)), IFERROR(FIND("Сильные стороны", INDEX('2. Харак-ка стилей'!A:A, CHOOSE('Механика подсчета результатов'!V2, 6, 3, 3, 3)))-1, LEN(INDEX('2. Харак-ка стилей'!A:A, CHOOSE('Механика подсчета результатов'!V2, 6, 3, 3, 3)))))</f>
        <v xml:space="preserve">Характеристика:
Данный стиль ориентирован на развитие людей. Вектор в модели человекоцентричности-Лидер. Приоритеты — раскрытие потенциала, создание условий для роста, возможности для профессионального и личностного развития.
Вдохновляющий лидер проявляет человекоцентричность через развитие и мотивацию других: он видит потенциал сотрудников, создаёт условия для обучения и роста, даёт амбициозные задачи и поддерживает траекторию развития. 
</v>
      </c>
      <c r="C54" s="319"/>
      <c r="D54" s="320"/>
      <c r="E54" s="321"/>
      <c r="F54" s="322"/>
      <c r="G54" s="323"/>
      <c r="H54" s="324"/>
      <c r="I54" s="325"/>
      <c r="J54" s="326"/>
      <c r="M54" s="5"/>
      <c r="N54" s="5"/>
      <c r="O54" s="5"/>
      <c r="P54" s="5"/>
    </row>
    <row r="55" spans="2:16" ht="23.25" customHeight="1" outlineLevel="1" x14ac:dyDescent="0.3">
      <c r="B55" s="327"/>
      <c r="C55" s="152"/>
      <c r="D55" s="152"/>
      <c r="E55" s="152"/>
      <c r="F55" s="152"/>
      <c r="G55" s="152"/>
      <c r="H55" s="152"/>
      <c r="I55" s="152"/>
      <c r="J55" s="328"/>
      <c r="M55" s="5"/>
      <c r="N55" s="5"/>
      <c r="O55" s="5"/>
      <c r="P55" s="5"/>
    </row>
    <row r="56" spans="2:16" ht="23.25" customHeight="1" outlineLevel="2" x14ac:dyDescent="0.3">
      <c r="B56" s="329"/>
      <c r="C56" s="152"/>
      <c r="D56" s="152"/>
      <c r="E56" s="152"/>
      <c r="F56" s="152"/>
      <c r="G56" s="152"/>
      <c r="H56" s="152"/>
      <c r="I56" s="152"/>
      <c r="J56" s="330"/>
      <c r="M56" s="5"/>
      <c r="N56" s="5"/>
      <c r="O56" s="5"/>
      <c r="P56" s="5"/>
    </row>
    <row r="57" spans="2:16" ht="23.25" customHeight="1" outlineLevel="2" x14ac:dyDescent="0.3">
      <c r="B57" s="331"/>
      <c r="C57" s="152"/>
      <c r="D57" s="152"/>
      <c r="E57" s="152"/>
      <c r="F57" s="152"/>
      <c r="G57" s="152"/>
      <c r="H57" s="152"/>
      <c r="I57" s="152"/>
      <c r="J57" s="332"/>
      <c r="M57" s="5"/>
      <c r="N57" s="5"/>
      <c r="O57" s="5"/>
      <c r="P57" s="5"/>
    </row>
    <row r="58" spans="2:16" ht="23.25" customHeight="1" outlineLevel="4" x14ac:dyDescent="0.3">
      <c r="B58" s="333"/>
      <c r="C58" s="334"/>
      <c r="D58" s="335"/>
      <c r="E58" s="336"/>
      <c r="F58" s="337"/>
      <c r="G58" s="338"/>
      <c r="H58" s="339"/>
      <c r="I58" s="340"/>
      <c r="J58" s="341"/>
      <c r="M58" s="5"/>
      <c r="N58" s="5"/>
      <c r="O58" s="5"/>
      <c r="P58" s="5"/>
    </row>
    <row r="59" spans="2:16" ht="23.25" customHeight="1" outlineLevel="4" x14ac:dyDescent="0.3">
      <c r="B59" s="276" t="str">
        <f>HYPERLINK("#'2. Харак-ка стилей'!A"&amp;CHOOSE('Механика подсчета результатов'!V2, 6, 3, 3, 3), "▶ Полное описание стиля")</f>
        <v>▶ Полное описание стиля</v>
      </c>
      <c r="C59" s="311"/>
      <c r="D59" s="312"/>
      <c r="E59" s="313"/>
      <c r="F59" s="314"/>
      <c r="G59" s="315"/>
      <c r="H59" s="316"/>
      <c r="I59" s="317"/>
      <c r="J59" s="318"/>
      <c r="M59" s="5"/>
      <c r="N59" s="5"/>
      <c r="O59" s="5"/>
      <c r="P59" s="5"/>
    </row>
    <row r="60" spans="2:16" ht="14.4" customHeight="1" outlineLevel="4" x14ac:dyDescent="0.3">
      <c r="B60" s="65"/>
      <c r="C60" s="66"/>
      <c r="D60" s="66"/>
      <c r="E60" s="66"/>
      <c r="F60" s="66"/>
      <c r="G60" s="66"/>
      <c r="H60" s="66"/>
      <c r="I60" s="66"/>
      <c r="J60" s="67"/>
      <c r="M60" s="5"/>
      <c r="N60" s="5"/>
      <c r="O60" s="5"/>
      <c r="P60" s="5"/>
    </row>
    <row r="61" spans="2:16" ht="22.8" hidden="1" customHeight="1" outlineLevel="4" x14ac:dyDescent="0.3">
      <c r="B61" s="65"/>
      <c r="C61" s="66"/>
      <c r="D61" s="66"/>
      <c r="E61" s="66"/>
      <c r="F61" s="66"/>
      <c r="G61" s="66"/>
      <c r="H61" s="66"/>
      <c r="I61" s="66"/>
      <c r="J61" s="67"/>
      <c r="M61" s="5"/>
      <c r="N61" s="5"/>
      <c r="O61" s="5"/>
      <c r="P61" s="5"/>
    </row>
    <row r="62" spans="2:16" ht="22.8" hidden="1" customHeight="1" outlineLevel="4" x14ac:dyDescent="0.3">
      <c r="B62" s="65"/>
      <c r="C62" s="66"/>
      <c r="D62" s="66"/>
      <c r="E62" s="66"/>
      <c r="F62" s="66"/>
      <c r="G62" s="66"/>
      <c r="H62" s="66"/>
      <c r="I62" s="66"/>
      <c r="J62" s="67"/>
      <c r="M62" s="5"/>
      <c r="N62" s="5"/>
      <c r="O62" s="5"/>
      <c r="P62" s="5"/>
    </row>
    <row r="63" spans="2:16" ht="23.25" hidden="1" customHeight="1" outlineLevel="5" x14ac:dyDescent="0.3">
      <c r="B63" s="65"/>
      <c r="C63" s="66"/>
      <c r="D63" s="66"/>
      <c r="E63" s="66"/>
      <c r="F63" s="66"/>
      <c r="G63" s="66"/>
      <c r="H63" s="66"/>
      <c r="I63" s="66"/>
      <c r="J63" s="67"/>
      <c r="M63" s="5"/>
      <c r="N63" s="5"/>
      <c r="O63" s="5"/>
      <c r="P63" s="5"/>
    </row>
    <row r="64" spans="2:16" ht="23.25" customHeight="1" outlineLevel="4" collapsed="1" x14ac:dyDescent="0.3">
      <c r="B64" s="308" t="str">
        <f>INDEX('2. Харак-ка стилей'!A:A, CHOOSE('Механика подсчета результатов'!V2, 9, 9, 6, 6)-1)</f>
        <v>Стиль "Командный"</v>
      </c>
      <c r="C64" s="309"/>
      <c r="D64" s="309"/>
      <c r="E64" s="309"/>
      <c r="F64" s="309"/>
      <c r="G64" s="309"/>
      <c r="H64" s="309"/>
      <c r="I64" s="309"/>
      <c r="J64" s="310"/>
      <c r="M64" s="5"/>
      <c r="N64" s="5"/>
      <c r="O64" s="5"/>
      <c r="P64" s="5"/>
    </row>
    <row r="65" spans="2:16" ht="23.25" customHeight="1" outlineLevel="2" x14ac:dyDescent="0.3">
      <c r="B65" s="142" t="str">
        <f>LEFT(INDEX('2. Харак-ка стилей'!A:A, CHOOSE('Механика подсчета результатов'!V2, 9, 9, 6, 6)), IFERROR(FIND("Сильные стороны", INDEX('2. Харак-ка стилей'!A:A, CHOOSE('Механика подсчета результатов'!V2, 9, 9, 6, 6)))-1, LEN(INDEX('2. Харак-ка стилей'!A:A, CHOOSE('Механика подсчета результатов'!V2, 9, 9, 6, 6)))))</f>
        <v xml:space="preserve">Характеристика:
Данный стиль ориентирован на команду и культуру взаимодействия. Вектор в модели человекоцентричности- Культура. Приоритеты — доброжелательное общение, уважительная коммуникация, культура взаимопомощи, ролевая модель корпоративной культуры.
Командный лидер проявляет человекоцентричность через то, как команда общается и поддерживает друг друга: он демонстрирует уважительный диалог, тактичность и вежливость в общении, готовность помочь и быть опорой. Он — ролевая модель корпоративной культуры: показывает на своём примере, как принято общаться, договариваться и взаимодействовать в Компании.
</v>
      </c>
      <c r="C65" s="285"/>
      <c r="D65" s="286"/>
      <c r="E65" s="287"/>
      <c r="F65" s="288"/>
      <c r="G65" s="289"/>
      <c r="H65" s="290"/>
      <c r="I65" s="291"/>
      <c r="J65" s="292"/>
      <c r="M65" s="5"/>
      <c r="N65" s="5"/>
      <c r="O65" s="5"/>
      <c r="P65" s="5"/>
    </row>
    <row r="66" spans="2:16" ht="23.25" customHeight="1" outlineLevel="3" x14ac:dyDescent="0.3">
      <c r="B66" s="293"/>
      <c r="C66" s="152"/>
      <c r="D66" s="152"/>
      <c r="E66" s="152"/>
      <c r="F66" s="152"/>
      <c r="G66" s="152"/>
      <c r="H66" s="152"/>
      <c r="I66" s="152"/>
      <c r="J66" s="294"/>
      <c r="M66" s="5"/>
      <c r="N66" s="5"/>
      <c r="O66" s="5"/>
      <c r="P66" s="5"/>
    </row>
    <row r="67" spans="2:16" ht="23.25" customHeight="1" outlineLevel="2" x14ac:dyDescent="0.3">
      <c r="B67" s="295"/>
      <c r="C67" s="152"/>
      <c r="D67" s="152"/>
      <c r="E67" s="152"/>
      <c r="F67" s="152"/>
      <c r="G67" s="152"/>
      <c r="H67" s="152"/>
      <c r="I67" s="152"/>
      <c r="J67" s="296"/>
      <c r="M67" s="5"/>
      <c r="N67" s="5"/>
      <c r="O67" s="5"/>
      <c r="P67" s="5"/>
    </row>
    <row r="68" spans="2:16" ht="23.25" customHeight="1" outlineLevel="2" x14ac:dyDescent="0.3">
      <c r="B68" s="297"/>
      <c r="C68" s="152"/>
      <c r="D68" s="152"/>
      <c r="E68" s="152"/>
      <c r="F68" s="152"/>
      <c r="G68" s="152"/>
      <c r="H68" s="152"/>
      <c r="I68" s="152"/>
      <c r="J68" s="298"/>
      <c r="M68" s="5"/>
      <c r="N68" s="5"/>
      <c r="O68" s="5"/>
      <c r="P68" s="5"/>
    </row>
    <row r="69" spans="2:16" ht="23.25" customHeight="1" outlineLevel="2" x14ac:dyDescent="0.3">
      <c r="B69" s="299"/>
      <c r="C69" s="300"/>
      <c r="D69" s="301"/>
      <c r="E69" s="302"/>
      <c r="F69" s="303"/>
      <c r="G69" s="304"/>
      <c r="H69" s="305"/>
      <c r="I69" s="306"/>
      <c r="J69" s="307"/>
      <c r="M69" s="5"/>
      <c r="N69" s="5"/>
      <c r="O69" s="5"/>
      <c r="P69" s="5"/>
    </row>
    <row r="70" spans="2:16" ht="23.25" customHeight="1" outlineLevel="2" x14ac:dyDescent="0.3">
      <c r="B70" s="276" t="str">
        <f>HYPERLINK("#'2. Харак-ка стилей'!A"&amp;CHOOSE('Механика подсчета результатов'!V2, 9, 9, 6, 6), "▶ Полное описание стиля")</f>
        <v>▶ Полное описание стиля</v>
      </c>
      <c r="C70" s="277"/>
      <c r="D70" s="278"/>
      <c r="E70" s="279"/>
      <c r="F70" s="280"/>
      <c r="G70" s="281"/>
      <c r="H70" s="282"/>
      <c r="I70" s="283"/>
      <c r="J70" s="284"/>
      <c r="M70" s="5"/>
      <c r="N70" s="5"/>
      <c r="O70" s="5"/>
      <c r="P70" s="5"/>
    </row>
    <row r="71" spans="2:16" ht="7.8" customHeight="1" outlineLevel="3" x14ac:dyDescent="0.3">
      <c r="B71" s="65"/>
      <c r="C71" s="66"/>
      <c r="D71" s="66"/>
      <c r="E71" s="66"/>
      <c r="F71" s="66"/>
      <c r="G71" s="66"/>
      <c r="H71" s="66"/>
      <c r="I71" s="66"/>
      <c r="J71" s="67"/>
      <c r="M71" s="5"/>
      <c r="N71" s="5"/>
      <c r="O71" s="5"/>
      <c r="P71" s="5"/>
    </row>
    <row r="72" spans="2:16" ht="22.8" hidden="1" customHeight="1" outlineLevel="4" x14ac:dyDescent="0.3">
      <c r="B72" s="65"/>
      <c r="C72" s="66"/>
      <c r="D72" s="66"/>
      <c r="E72" s="66"/>
      <c r="F72" s="66"/>
      <c r="G72" s="66"/>
      <c r="H72" s="66"/>
      <c r="I72" s="66"/>
      <c r="J72" s="67"/>
      <c r="M72" s="5"/>
      <c r="N72" s="5"/>
      <c r="O72" s="5"/>
      <c r="P72" s="5"/>
    </row>
    <row r="73" spans="2:16" ht="22.8" hidden="1" customHeight="1" outlineLevel="5" x14ac:dyDescent="0.3">
      <c r="B73" s="65"/>
      <c r="C73" s="66"/>
      <c r="D73" s="66"/>
      <c r="E73" s="66"/>
      <c r="F73" s="66"/>
      <c r="G73" s="66"/>
      <c r="H73" s="66"/>
      <c r="I73" s="66"/>
      <c r="J73" s="67"/>
      <c r="M73" s="5"/>
      <c r="N73" s="5"/>
      <c r="O73" s="5"/>
      <c r="P73" s="5"/>
    </row>
    <row r="74" spans="2:16" ht="22.8" hidden="1" customHeight="1" outlineLevel="3" x14ac:dyDescent="0.3">
      <c r="B74" s="65"/>
      <c r="C74" s="66"/>
      <c r="D74" s="66"/>
      <c r="E74" s="66"/>
      <c r="F74" s="66"/>
      <c r="G74" s="66"/>
      <c r="H74" s="66"/>
      <c r="I74" s="66"/>
      <c r="J74" s="67"/>
      <c r="M74" s="5"/>
      <c r="N74" s="5"/>
      <c r="O74" s="5"/>
      <c r="P74" s="5"/>
    </row>
    <row r="75" spans="2:16" ht="23.25" customHeight="1" outlineLevel="3" x14ac:dyDescent="0.3">
      <c r="B75" s="308" t="str">
        <f>INDEX('2. Харак-ка стилей'!A:A, CHOOSE('Механика подсчета результатов'!V2, 12, 12, 12, 9)-1)</f>
        <v>Стиль "Процессный"</v>
      </c>
      <c r="C75" s="309"/>
      <c r="D75" s="309"/>
      <c r="E75" s="309"/>
      <c r="F75" s="309"/>
      <c r="G75" s="309"/>
      <c r="H75" s="309"/>
      <c r="I75" s="309"/>
      <c r="J75" s="442"/>
      <c r="M75" s="5"/>
      <c r="N75" s="5"/>
      <c r="O75" s="5"/>
      <c r="P75" s="5"/>
    </row>
    <row r="76" spans="2:16" ht="23.25" customHeight="1" outlineLevel="4" x14ac:dyDescent="0.3">
      <c r="B76" s="142" t="str">
        <f>LEFT(INDEX('2. Харак-ка стилей'!A:A, CHOOSE('Механика подсчета результатов'!V2, 12, 12, 12, 9)), IFERROR(FIND("Сильные стороны", INDEX('2. Харак-ка стилей'!A:A, CHOOSE('Механика подсчета результатов'!V2, 12, 12, 12, 9)))-1, LEN(INDEX('2. Харак-ка стилей'!A:A, CHOOSE('Механика подсчета результатов'!V2, 12, 12, 12, 9)))))</f>
        <v xml:space="preserve">Характеристика:
Данный стиль ориентирован на организацию работы. Вектор в модели человекоцентричности- Процессы и практики. Приоритеты — прозрачность, понятные договорённости, устранение барьеров, предсказуемость.
Процессный лидер проявляет человекоцентричность через удобную и понятную среду работы: он выстраивает  правила взаимодействия, убирает лишние препятствия и создаёт условия, в которых сотрудник может сосредоточиться на задаче. Основная цель — обеспечить максимальную эффективность через отлаженный и структурированный подход, делая акцент на том, чтобы процессы помогали людям, а не мешали им.
</v>
      </c>
      <c r="C76" s="419"/>
      <c r="D76" s="420"/>
      <c r="E76" s="421"/>
      <c r="F76" s="422"/>
      <c r="G76" s="423"/>
      <c r="H76" s="424"/>
      <c r="I76" s="425"/>
      <c r="J76" s="426"/>
      <c r="M76" s="5"/>
      <c r="N76" s="5"/>
      <c r="O76" s="5"/>
      <c r="P76" s="5"/>
    </row>
    <row r="77" spans="2:16" ht="23.25" customHeight="1" outlineLevel="4" x14ac:dyDescent="0.3">
      <c r="B77" s="427"/>
      <c r="C77" s="152"/>
      <c r="D77" s="152"/>
      <c r="E77" s="152"/>
      <c r="F77" s="152"/>
      <c r="G77" s="152"/>
      <c r="H77" s="152"/>
      <c r="I77" s="152"/>
      <c r="J77" s="428"/>
      <c r="M77" s="5"/>
      <c r="N77" s="5"/>
      <c r="O77" s="5"/>
      <c r="P77" s="5"/>
    </row>
    <row r="78" spans="2:16" ht="23.25" customHeight="1" outlineLevel="3" x14ac:dyDescent="0.3">
      <c r="B78" s="429"/>
      <c r="C78" s="152"/>
      <c r="D78" s="152"/>
      <c r="E78" s="152"/>
      <c r="F78" s="152"/>
      <c r="G78" s="152"/>
      <c r="H78" s="152"/>
      <c r="I78" s="152"/>
      <c r="J78" s="430"/>
      <c r="M78" s="5"/>
      <c r="N78" s="5"/>
      <c r="O78" s="5"/>
      <c r="P78" s="5"/>
    </row>
    <row r="79" spans="2:16" ht="23.25" customHeight="1" outlineLevel="3" x14ac:dyDescent="0.3">
      <c r="B79" s="431"/>
      <c r="C79" s="152"/>
      <c r="D79" s="152"/>
      <c r="E79" s="152"/>
      <c r="F79" s="152"/>
      <c r="G79" s="152"/>
      <c r="H79" s="152"/>
      <c r="I79" s="152"/>
      <c r="J79" s="432"/>
      <c r="M79" s="5"/>
      <c r="N79" s="5"/>
      <c r="O79" s="5"/>
      <c r="P79" s="5"/>
    </row>
    <row r="80" spans="2:16" ht="23.25" customHeight="1" outlineLevel="3" x14ac:dyDescent="0.3">
      <c r="B80" s="433"/>
      <c r="C80" s="434"/>
      <c r="D80" s="435"/>
      <c r="E80" s="436"/>
      <c r="F80" s="437"/>
      <c r="G80" s="438"/>
      <c r="H80" s="439"/>
      <c r="I80" s="440"/>
      <c r="J80" s="441"/>
      <c r="M80" s="5"/>
      <c r="N80" s="5"/>
      <c r="O80" s="5"/>
      <c r="P80" s="5"/>
    </row>
    <row r="81" spans="2:16" ht="23.25" customHeight="1" outlineLevel="4" x14ac:dyDescent="0.3">
      <c r="B81" s="276" t="str">
        <f>HYPERLINK("#'2. Харак-ка стилей'!A"&amp;CHOOSE('Механика подсчета результатов'!V2, 12, 12, 12, 9), "▶ Полное описание стиля")</f>
        <v>▶ Полное описание стиля</v>
      </c>
      <c r="C81" s="411"/>
      <c r="D81" s="412"/>
      <c r="E81" s="413"/>
      <c r="F81" s="414"/>
      <c r="G81" s="415"/>
      <c r="H81" s="416"/>
      <c r="I81" s="417"/>
      <c r="J81" s="418"/>
      <c r="M81" s="5"/>
      <c r="N81" s="5"/>
      <c r="O81" s="5"/>
      <c r="P81" s="5"/>
    </row>
    <row r="82" spans="2:16" ht="6.6" customHeight="1" outlineLevel="3" x14ac:dyDescent="0.3">
      <c r="B82" s="65"/>
      <c r="C82" s="66"/>
      <c r="D82" s="66"/>
      <c r="E82" s="66"/>
      <c r="F82" s="66"/>
      <c r="G82" s="66"/>
      <c r="H82" s="66"/>
      <c r="I82" s="66"/>
      <c r="J82" s="67"/>
      <c r="M82" s="5"/>
      <c r="N82" s="5"/>
      <c r="O82" s="5"/>
      <c r="P82" s="5"/>
    </row>
    <row r="83" spans="2:16" ht="22.8" hidden="1" customHeight="1" outlineLevel="2" x14ac:dyDescent="0.3">
      <c r="B83" s="65"/>
      <c r="C83" s="66"/>
      <c r="D83" s="66"/>
      <c r="E83" s="66"/>
      <c r="F83" s="66"/>
      <c r="G83" s="66"/>
      <c r="H83" s="66"/>
      <c r="I83" s="66"/>
      <c r="J83" s="67"/>
      <c r="M83" s="5"/>
      <c r="N83" s="5"/>
      <c r="O83" s="5"/>
      <c r="P83" s="5"/>
    </row>
    <row r="84" spans="2:16" ht="22.8" hidden="1" customHeight="1" outlineLevel="2" x14ac:dyDescent="0.3">
      <c r="B84" s="65"/>
      <c r="C84" s="66"/>
      <c r="D84" s="66"/>
      <c r="E84" s="66"/>
      <c r="F84" s="66"/>
      <c r="G84" s="66"/>
      <c r="H84" s="66"/>
      <c r="I84" s="66"/>
      <c r="J84" s="67"/>
      <c r="M84" s="5"/>
      <c r="N84" s="5"/>
      <c r="O84" s="5"/>
      <c r="P84" s="5"/>
    </row>
    <row r="85" spans="2:16" ht="22.8" hidden="1" customHeight="1" outlineLevel="2" x14ac:dyDescent="0.3">
      <c r="B85" s="65"/>
      <c r="C85" s="66"/>
      <c r="D85" s="66"/>
      <c r="E85" s="66"/>
      <c r="F85" s="66"/>
      <c r="G85" s="66"/>
      <c r="H85" s="66"/>
      <c r="I85" s="66"/>
      <c r="J85" s="67"/>
      <c r="M85" s="5"/>
      <c r="N85" s="5"/>
      <c r="O85" s="5"/>
      <c r="P85" s="5"/>
    </row>
    <row r="86" spans="2:16" ht="22.8" hidden="1" customHeight="1" outlineLevel="3" x14ac:dyDescent="0.3">
      <c r="B86" s="65"/>
      <c r="C86" s="66"/>
      <c r="D86" s="66"/>
      <c r="E86" s="66"/>
      <c r="F86" s="66"/>
      <c r="G86" s="66"/>
      <c r="H86" s="66"/>
      <c r="I86" s="66"/>
      <c r="J86" s="67"/>
      <c r="M86" s="5"/>
      <c r="N86" s="5"/>
      <c r="O86" s="5"/>
      <c r="P86" s="5"/>
    </row>
    <row r="87" spans="2:16" ht="22.8" hidden="1" customHeight="1" outlineLevel="3" x14ac:dyDescent="0.3">
      <c r="B87" s="65"/>
      <c r="C87" s="66"/>
      <c r="D87" s="66"/>
      <c r="E87" s="66"/>
      <c r="F87" s="66"/>
      <c r="G87" s="66"/>
      <c r="H87" s="66"/>
      <c r="I87" s="66"/>
      <c r="J87" s="67"/>
      <c r="M87" s="5"/>
      <c r="N87" s="5"/>
      <c r="O87" s="5"/>
      <c r="P87" s="5"/>
    </row>
    <row r="88" spans="2:16" ht="23.25" customHeight="1" outlineLevel="4" x14ac:dyDescent="0.3">
      <c r="B88" s="132" t="s">
        <v>166</v>
      </c>
      <c r="C88" s="133"/>
      <c r="D88" s="133"/>
      <c r="E88" s="133"/>
      <c r="F88" s="133"/>
      <c r="G88" s="133"/>
      <c r="H88" s="133"/>
      <c r="I88" s="133"/>
      <c r="J88" s="410"/>
      <c r="M88" s="5"/>
      <c r="N88" s="5"/>
      <c r="O88" s="5"/>
      <c r="P88" s="5"/>
    </row>
    <row r="89" spans="2:16" ht="15" customHeight="1" outlineLevel="4" x14ac:dyDescent="0.3">
      <c r="B89" s="342" t="str">
        <f>CHOOSE('Механика подсчета результатов'!V2, '3. Рекомендации по вед стилю '!A3, '3. Рекомендации по вед стилю '!A6, '3. Рекомендации по вед стилю '!A9, '3. Рекомендации по вед стилю '!A12)</f>
        <v>Предлагаем вам расширить набор инструментов лидера : оставить фокус на создании ценности для клиента и Общества, но укрепить команду через понимание людей, их мотивации, раскрытия потенциала, усиление эффективности процессов. Для этого:
Узнайте больше о своей команде:
• Проведите индивидуальные беседы: понимает ли каждый сотрудник, как его работа влияет на клиента и общество, или видит только внутренние показатели.
• Спросите, где темп решений и многозадачность помогают, а где создают перегруз и снижают качество.
• Соберите обратную связь: достаточно ли в команде уважительного общения и взаимопомощи, а также условий для роста.
• Проанализируйте, где "размымость" ролей и лишние барьеры мешают людям достигать результата.
Внедряйте в практику и делайте чаще:
• В начале задач формулируйте связку: «Для кого мы это делаем: клиент, общество, команда» — не только KPI.
• На командных встречах совмещайте приоритеты и решения с тем, как команда помогает друг другу.
• Давайте сотрудникам задачи на развитие и обратную связь о росте, а не только о цифрах.
• Упрощайте согласования и убирайте лишние шаги на пути к результату.
• Признавайте личный вклад сотрудников в ценность для клиента, а не только выполнение плана.
Закрепите изменения и дополните свой стиль:
• Развивайте культуру уважительной обратной связи — результат не отменяет важность отношений.
• Обсудите вместе с сотрудниками их индивидуальные траектории развития компетенций: в чем их сильные стороны, а какие навыки можно усилить.
• Регулярно пересматривайте «узкие места» процессов, которые мешают людям работать эффективно.</v>
      </c>
      <c r="C89" s="343"/>
      <c r="D89" s="344"/>
      <c r="E89" s="345"/>
      <c r="F89" s="346"/>
      <c r="G89" s="347"/>
      <c r="H89" s="348"/>
      <c r="I89" s="349"/>
      <c r="J89" s="350"/>
      <c r="M89" s="5"/>
      <c r="N89" s="5"/>
      <c r="O89" s="5"/>
      <c r="P89" s="5"/>
    </row>
    <row r="90" spans="2:16" ht="15" customHeight="1" outlineLevel="4" x14ac:dyDescent="0.3">
      <c r="B90" s="351"/>
      <c r="C90" s="152"/>
      <c r="D90" s="152"/>
      <c r="E90" s="152"/>
      <c r="F90" s="152"/>
      <c r="G90" s="152"/>
      <c r="H90" s="152"/>
      <c r="I90" s="152"/>
      <c r="J90" s="352"/>
      <c r="M90" s="5"/>
      <c r="N90" s="5"/>
      <c r="O90" s="5"/>
      <c r="P90" s="5"/>
    </row>
    <row r="91" spans="2:16" ht="15" customHeight="1" outlineLevel="3" x14ac:dyDescent="0.3">
      <c r="B91" s="353"/>
      <c r="C91" s="152"/>
      <c r="D91" s="152"/>
      <c r="E91" s="152"/>
      <c r="F91" s="152"/>
      <c r="G91" s="152"/>
      <c r="H91" s="152"/>
      <c r="I91" s="152"/>
      <c r="J91" s="354"/>
      <c r="M91" s="5"/>
      <c r="N91" s="5"/>
      <c r="O91" s="5"/>
      <c r="P91" s="5"/>
    </row>
    <row r="92" spans="2:16" ht="15" customHeight="1" outlineLevel="2" x14ac:dyDescent="0.3">
      <c r="B92" s="355"/>
      <c r="C92" s="152"/>
      <c r="D92" s="152"/>
      <c r="E92" s="152"/>
      <c r="F92" s="152"/>
      <c r="G92" s="152"/>
      <c r="H92" s="152"/>
      <c r="I92" s="152"/>
      <c r="J92" s="356"/>
      <c r="M92" s="5"/>
      <c r="N92" s="5"/>
      <c r="O92" s="5"/>
      <c r="P92" s="5"/>
    </row>
    <row r="93" spans="2:16" ht="15" customHeight="1" outlineLevel="2" x14ac:dyDescent="0.3">
      <c r="B93" s="357"/>
      <c r="C93" s="152"/>
      <c r="D93" s="152"/>
      <c r="E93" s="152"/>
      <c r="F93" s="152"/>
      <c r="G93" s="152"/>
      <c r="H93" s="152"/>
      <c r="I93" s="152"/>
      <c r="J93" s="358"/>
      <c r="M93" s="5"/>
      <c r="N93" s="5"/>
      <c r="O93" s="5"/>
      <c r="P93" s="5"/>
    </row>
    <row r="94" spans="2:16" ht="15" customHeight="1" outlineLevel="1" x14ac:dyDescent="0.3">
      <c r="B94" s="359"/>
      <c r="C94" s="152"/>
      <c r="D94" s="152"/>
      <c r="E94" s="152"/>
      <c r="F94" s="152"/>
      <c r="G94" s="152"/>
      <c r="H94" s="152"/>
      <c r="I94" s="152"/>
      <c r="J94" s="360"/>
      <c r="M94" s="5"/>
      <c r="N94" s="5"/>
      <c r="O94" s="5"/>
      <c r="P94" s="5"/>
    </row>
    <row r="95" spans="2:16" ht="27.75" customHeight="1" outlineLevel="1" x14ac:dyDescent="0.3">
      <c r="B95" s="361"/>
      <c r="C95" s="152"/>
      <c r="D95" s="152"/>
      <c r="E95" s="152"/>
      <c r="F95" s="152"/>
      <c r="G95" s="152"/>
      <c r="H95" s="152"/>
      <c r="I95" s="152"/>
      <c r="J95" s="362"/>
      <c r="M95" s="5"/>
      <c r="N95" s="5"/>
      <c r="O95" s="5"/>
      <c r="P95" s="5"/>
    </row>
    <row r="96" spans="2:16" ht="15" customHeight="1" outlineLevel="1" x14ac:dyDescent="0.3">
      <c r="B96" s="363"/>
      <c r="C96" s="152"/>
      <c r="D96" s="152"/>
      <c r="E96" s="152"/>
      <c r="F96" s="152"/>
      <c r="G96" s="152"/>
      <c r="H96" s="152"/>
      <c r="I96" s="152"/>
      <c r="J96" s="364"/>
      <c r="M96" s="5"/>
      <c r="N96" s="5"/>
      <c r="O96" s="5"/>
      <c r="P96" s="5"/>
    </row>
    <row r="97" spans="2:16" ht="15" customHeight="1" x14ac:dyDescent="0.3">
      <c r="B97" s="365"/>
      <c r="C97" s="152"/>
      <c r="D97" s="152"/>
      <c r="E97" s="152"/>
      <c r="F97" s="152"/>
      <c r="G97" s="152"/>
      <c r="H97" s="152"/>
      <c r="I97" s="152"/>
      <c r="J97" s="366"/>
      <c r="M97" s="5"/>
      <c r="N97" s="5"/>
      <c r="O97" s="5"/>
      <c r="P97" s="5"/>
    </row>
    <row r="98" spans="2:16" ht="15" customHeight="1" x14ac:dyDescent="0.3">
      <c r="B98" s="367"/>
      <c r="C98" s="152"/>
      <c r="D98" s="152"/>
      <c r="E98" s="152"/>
      <c r="F98" s="152"/>
      <c r="G98" s="152"/>
      <c r="H98" s="152"/>
      <c r="I98" s="152"/>
      <c r="J98" s="368"/>
      <c r="M98" s="5"/>
      <c r="N98" s="5"/>
      <c r="O98" s="5"/>
      <c r="P98" s="5"/>
    </row>
    <row r="99" spans="2:16" ht="15" customHeight="1" x14ac:dyDescent="0.3">
      <c r="B99" s="369"/>
      <c r="C99" s="152"/>
      <c r="D99" s="152"/>
      <c r="E99" s="152"/>
      <c r="F99" s="152"/>
      <c r="G99" s="152"/>
      <c r="H99" s="152"/>
      <c r="I99" s="152"/>
      <c r="J99" s="370"/>
      <c r="M99" s="5"/>
      <c r="N99" s="5"/>
      <c r="O99" s="5"/>
      <c r="P99" s="5"/>
    </row>
    <row r="100" spans="2:16" ht="15" customHeight="1" x14ac:dyDescent="0.3">
      <c r="B100" s="371"/>
      <c r="C100" s="152"/>
      <c r="D100" s="152"/>
      <c r="E100" s="152"/>
      <c r="F100" s="152"/>
      <c r="G100" s="152"/>
      <c r="H100" s="152"/>
      <c r="I100" s="152"/>
      <c r="J100" s="372"/>
      <c r="M100" s="5"/>
      <c r="N100" s="5"/>
      <c r="O100" s="5"/>
      <c r="P100" s="5"/>
    </row>
    <row r="101" spans="2:16" ht="15" customHeight="1" x14ac:dyDescent="0.3">
      <c r="B101" s="373"/>
      <c r="C101" s="152"/>
      <c r="D101" s="152"/>
      <c r="E101" s="152"/>
      <c r="F101" s="152"/>
      <c r="G101" s="152"/>
      <c r="H101" s="152"/>
      <c r="I101" s="152"/>
      <c r="J101" s="374"/>
      <c r="M101" s="5"/>
      <c r="N101" s="5"/>
      <c r="O101" s="5"/>
      <c r="P101" s="5"/>
    </row>
    <row r="102" spans="2:16" ht="15" customHeight="1" x14ac:dyDescent="0.3">
      <c r="B102" s="375"/>
      <c r="C102" s="152"/>
      <c r="D102" s="152"/>
      <c r="E102" s="152"/>
      <c r="F102" s="152"/>
      <c r="G102" s="152"/>
      <c r="H102" s="152"/>
      <c r="I102" s="152"/>
      <c r="J102" s="376"/>
      <c r="M102" s="5"/>
      <c r="N102" s="5"/>
      <c r="O102" s="5"/>
      <c r="P102" s="5"/>
    </row>
    <row r="103" spans="2:16" ht="15" hidden="1" customHeight="1" outlineLevel="1" x14ac:dyDescent="0.3">
      <c r="B103" s="377"/>
      <c r="C103" s="152"/>
      <c r="D103" s="152"/>
      <c r="E103" s="152"/>
      <c r="F103" s="152"/>
      <c r="G103" s="152"/>
      <c r="H103" s="152"/>
      <c r="I103" s="152"/>
      <c r="J103" s="378"/>
      <c r="M103" s="5"/>
      <c r="N103" s="5"/>
      <c r="O103" s="5"/>
      <c r="P103" s="5"/>
    </row>
    <row r="104" spans="2:16" ht="15" hidden="1" customHeight="1" outlineLevel="1" x14ac:dyDescent="0.3">
      <c r="B104" s="379"/>
      <c r="C104" s="152"/>
      <c r="D104" s="152"/>
      <c r="E104" s="152"/>
      <c r="F104" s="152"/>
      <c r="G104" s="152"/>
      <c r="H104" s="152"/>
      <c r="I104" s="152"/>
      <c r="J104" s="380"/>
      <c r="M104" s="5"/>
      <c r="N104" s="5"/>
      <c r="O104" s="5"/>
      <c r="P104" s="5"/>
    </row>
    <row r="105" spans="2:16" ht="15" hidden="1" customHeight="1" outlineLevel="1" x14ac:dyDescent="0.3">
      <c r="B105" s="381"/>
      <c r="C105" s="152"/>
      <c r="D105" s="152"/>
      <c r="E105" s="152"/>
      <c r="F105" s="152"/>
      <c r="G105" s="152"/>
      <c r="H105" s="152"/>
      <c r="I105" s="152"/>
      <c r="J105" s="382"/>
      <c r="M105" s="5"/>
      <c r="N105" s="5"/>
      <c r="O105" s="5"/>
      <c r="P105" s="5"/>
    </row>
    <row r="106" spans="2:16" ht="15" hidden="1" customHeight="1" outlineLevel="1" x14ac:dyDescent="0.3">
      <c r="B106" s="383"/>
      <c r="C106" s="152"/>
      <c r="D106" s="152"/>
      <c r="E106" s="152"/>
      <c r="F106" s="152"/>
      <c r="G106" s="152"/>
      <c r="H106" s="152"/>
      <c r="I106" s="152"/>
      <c r="J106" s="384"/>
      <c r="M106" s="5"/>
      <c r="N106" s="5"/>
      <c r="O106" s="5"/>
      <c r="P106" s="5"/>
    </row>
    <row r="107" spans="2:16" ht="15" hidden="1" customHeight="1" outlineLevel="1" x14ac:dyDescent="0.3">
      <c r="B107" s="385"/>
      <c r="C107" s="256"/>
      <c r="D107" s="256"/>
      <c r="E107" s="256"/>
      <c r="F107" s="256"/>
      <c r="G107" s="256"/>
      <c r="H107" s="256"/>
      <c r="I107" s="256"/>
      <c r="J107" s="386"/>
      <c r="M107" s="5"/>
      <c r="N107" s="5"/>
      <c r="O107" s="5"/>
      <c r="P107" s="5"/>
    </row>
    <row r="108" spans="2:16" ht="15" hidden="1" customHeight="1" outlineLevel="1" x14ac:dyDescent="0.3">
      <c r="B108" s="387"/>
      <c r="C108" s="256"/>
      <c r="D108" s="256"/>
      <c r="E108" s="256"/>
      <c r="F108" s="256"/>
      <c r="G108" s="256"/>
      <c r="H108" s="256"/>
      <c r="I108" s="256"/>
      <c r="J108" s="388"/>
      <c r="M108" s="5"/>
      <c r="N108" s="5"/>
      <c r="O108" s="5"/>
      <c r="P108" s="5"/>
    </row>
    <row r="109" spans="2:16" ht="15" hidden="1" customHeight="1" outlineLevel="1" x14ac:dyDescent="0.3">
      <c r="B109" s="389"/>
      <c r="C109" s="256"/>
      <c r="D109" s="256"/>
      <c r="E109" s="256"/>
      <c r="F109" s="256"/>
      <c r="G109" s="256"/>
      <c r="H109" s="256"/>
      <c r="I109" s="256"/>
      <c r="J109" s="390"/>
      <c r="M109" s="5"/>
      <c r="N109" s="5"/>
      <c r="O109" s="5"/>
      <c r="P109" s="5"/>
    </row>
    <row r="110" spans="2:16" ht="15" hidden="1" customHeight="1" outlineLevel="1" x14ac:dyDescent="0.3">
      <c r="B110" s="391"/>
      <c r="C110" s="256"/>
      <c r="D110" s="256"/>
      <c r="E110" s="256"/>
      <c r="F110" s="256"/>
      <c r="G110" s="256"/>
      <c r="H110" s="256"/>
      <c r="I110" s="256"/>
      <c r="J110" s="392"/>
      <c r="M110" s="5"/>
      <c r="N110" s="5"/>
      <c r="O110" s="5"/>
      <c r="P110" s="5"/>
    </row>
    <row r="111" spans="2:16" ht="15" hidden="1" customHeight="1" outlineLevel="1" x14ac:dyDescent="0.3">
      <c r="B111" s="393"/>
      <c r="C111" s="152"/>
      <c r="D111" s="152"/>
      <c r="E111" s="152"/>
      <c r="F111" s="152"/>
      <c r="G111" s="152"/>
      <c r="H111" s="152"/>
      <c r="I111" s="152"/>
      <c r="J111" s="394"/>
      <c r="M111" s="5"/>
      <c r="N111" s="5"/>
      <c r="O111" s="5"/>
      <c r="P111" s="5"/>
    </row>
    <row r="112" spans="2:16" ht="15" customHeight="1" collapsed="1" x14ac:dyDescent="0.3">
      <c r="B112" s="395"/>
      <c r="C112" s="152"/>
      <c r="D112" s="152"/>
      <c r="E112" s="152"/>
      <c r="F112" s="152"/>
      <c r="G112" s="152"/>
      <c r="H112" s="152"/>
      <c r="I112" s="152"/>
      <c r="J112" s="396"/>
      <c r="M112" s="5"/>
      <c r="N112" s="5"/>
      <c r="O112" s="5"/>
      <c r="P112" s="5"/>
    </row>
    <row r="113" spans="2:16" ht="15" customHeight="1" x14ac:dyDescent="0.3">
      <c r="B113" s="397"/>
      <c r="C113" s="152"/>
      <c r="D113" s="152"/>
      <c r="E113" s="152"/>
      <c r="F113" s="152"/>
      <c r="G113" s="152"/>
      <c r="H113" s="152"/>
      <c r="I113" s="152"/>
      <c r="J113" s="398"/>
      <c r="M113" s="5"/>
      <c r="N113" s="5"/>
      <c r="O113" s="5"/>
      <c r="P113" s="5"/>
    </row>
    <row r="114" spans="2:16" ht="14.4" x14ac:dyDescent="0.3">
      <c r="B114" s="399"/>
      <c r="C114" s="152"/>
      <c r="D114" s="152"/>
      <c r="E114" s="152"/>
      <c r="F114" s="152"/>
      <c r="G114" s="152"/>
      <c r="H114" s="152"/>
      <c r="I114" s="152"/>
      <c r="J114" s="400"/>
      <c r="M114" s="5"/>
      <c r="N114" s="5"/>
      <c r="O114" s="5"/>
      <c r="P114" s="5"/>
    </row>
    <row r="115" spans="2:16" ht="91.8" customHeight="1" x14ac:dyDescent="0.3">
      <c r="B115" s="401"/>
      <c r="C115" s="402"/>
      <c r="D115" s="403"/>
      <c r="E115" s="404"/>
      <c r="F115" s="405"/>
      <c r="G115" s="406"/>
      <c r="H115" s="407"/>
      <c r="I115" s="408"/>
      <c r="J115" s="409"/>
      <c r="M115" s="5"/>
      <c r="N115" s="5"/>
      <c r="O115" s="5"/>
      <c r="P115" s="5"/>
    </row>
    <row r="116" spans="2:16" ht="14.4" x14ac:dyDescent="0.3">
      <c r="B116" s="66"/>
      <c r="C116" s="66"/>
      <c r="D116" s="66"/>
      <c r="E116" s="66"/>
      <c r="F116" s="66"/>
      <c r="G116" s="66"/>
      <c r="H116" s="66"/>
      <c r="I116" s="66"/>
      <c r="J116" s="66"/>
      <c r="M116" s="5"/>
      <c r="N116" s="5"/>
      <c r="O116" s="5"/>
      <c r="P116" s="5"/>
    </row>
    <row r="117" spans="2:16" ht="14.4" x14ac:dyDescent="0.3">
      <c r="B117" s="66"/>
      <c r="C117" s="66"/>
      <c r="D117" s="66"/>
      <c r="E117" s="66"/>
      <c r="F117" s="66"/>
      <c r="G117" s="66"/>
      <c r="H117" s="66"/>
      <c r="I117" s="66"/>
      <c r="J117" s="66"/>
      <c r="M117" s="5"/>
      <c r="N117" s="5"/>
      <c r="O117" s="5"/>
      <c r="P117" s="5"/>
    </row>
    <row r="118" spans="2:16" ht="14.4" x14ac:dyDescent="0.3">
      <c r="B118" s="66"/>
      <c r="C118" s="66"/>
      <c r="D118" s="66"/>
      <c r="E118" s="66"/>
      <c r="F118" s="66"/>
      <c r="G118" s="66"/>
      <c r="H118" s="66"/>
      <c r="I118" s="66"/>
      <c r="J118" s="66"/>
      <c r="M118" s="5"/>
      <c r="N118" s="5"/>
      <c r="O118" s="5"/>
      <c r="P118" s="5"/>
    </row>
    <row r="119" spans="2:16" ht="14.4" x14ac:dyDescent="0.3">
      <c r="B119" s="66"/>
      <c r="C119" s="66"/>
      <c r="D119" s="66"/>
      <c r="E119" s="66"/>
      <c r="F119" s="66"/>
      <c r="G119" s="66"/>
      <c r="H119" s="66"/>
      <c r="I119" s="66"/>
      <c r="J119" s="66"/>
      <c r="M119" s="5"/>
      <c r="N119" s="5"/>
      <c r="O119" s="5"/>
      <c r="P119" s="5"/>
    </row>
    <row r="120" spans="2:16" ht="14.4" x14ac:dyDescent="0.3">
      <c r="B120" s="66"/>
      <c r="C120" s="66"/>
      <c r="D120" s="66"/>
      <c r="E120" s="66"/>
      <c r="F120" s="66"/>
      <c r="G120" s="66"/>
      <c r="H120" s="66"/>
      <c r="I120" s="66"/>
      <c r="J120" s="66"/>
      <c r="M120" s="5"/>
      <c r="N120" s="5"/>
      <c r="O120" s="5"/>
      <c r="P120" s="5"/>
    </row>
    <row r="121" spans="2:16" ht="14.4" x14ac:dyDescent="0.3">
      <c r="M121" s="5"/>
      <c r="N121" s="5"/>
      <c r="O121" s="5"/>
      <c r="P121" s="5"/>
    </row>
    <row r="122" spans="2:16" ht="14.4" x14ac:dyDescent="0.3">
      <c r="M122" s="5"/>
      <c r="N122" s="5"/>
      <c r="O122" s="5"/>
      <c r="P122" s="5"/>
    </row>
    <row r="123" spans="2:16" ht="14.4" x14ac:dyDescent="0.3">
      <c r="M123" s="5"/>
      <c r="N123" s="5"/>
      <c r="O123" s="5"/>
      <c r="P123" s="5"/>
    </row>
    <row r="124" spans="2:16" ht="14.4" x14ac:dyDescent="0.3">
      <c r="M124" s="5"/>
      <c r="N124" s="5"/>
      <c r="O124" s="5"/>
      <c r="P124" s="5"/>
    </row>
    <row r="125" spans="2:16" ht="14.4" x14ac:dyDescent="0.3">
      <c r="M125" s="5"/>
      <c r="N125" s="5"/>
      <c r="O125" s="5"/>
      <c r="P125" s="5"/>
    </row>
    <row r="126" spans="2:16" ht="14.4" x14ac:dyDescent="0.3">
      <c r="M126" s="5"/>
      <c r="N126" s="5"/>
      <c r="O126" s="5"/>
      <c r="P126" s="5"/>
    </row>
    <row r="127" spans="2:16" ht="14.4" x14ac:dyDescent="0.3">
      <c r="M127" s="5"/>
      <c r="N127" s="5"/>
      <c r="O127" s="5"/>
      <c r="P127" s="5"/>
    </row>
    <row r="128" spans="2:16" ht="14.4" x14ac:dyDescent="0.3">
      <c r="M128" s="5"/>
      <c r="N128" s="5"/>
      <c r="O128" s="5"/>
      <c r="P128" s="5"/>
    </row>
    <row r="129" spans="13:16" ht="14.4" x14ac:dyDescent="0.3">
      <c r="M129" s="5"/>
      <c r="N129" s="5"/>
      <c r="O129" s="5"/>
      <c r="P129" s="5"/>
    </row>
    <row r="130" spans="13:16" ht="27.75" customHeight="1" x14ac:dyDescent="0.3">
      <c r="M130" s="5"/>
      <c r="N130" s="5"/>
      <c r="O130" s="5"/>
      <c r="P130" s="5"/>
    </row>
    <row r="131" spans="13:16" ht="14.4" x14ac:dyDescent="0.3">
      <c r="M131" s="5"/>
      <c r="N131" s="5"/>
      <c r="O131" s="5"/>
      <c r="P131" s="5"/>
    </row>
    <row r="132" spans="13:16" ht="14.4" x14ac:dyDescent="0.3">
      <c r="M132" s="5"/>
      <c r="N132" s="5"/>
      <c r="O132" s="5"/>
      <c r="P132" s="5"/>
    </row>
    <row r="133" spans="13:16" ht="14.4" x14ac:dyDescent="0.3">
      <c r="M133" s="5"/>
      <c r="N133" s="5"/>
      <c r="O133" s="5"/>
      <c r="P133" s="5"/>
    </row>
    <row r="134" spans="13:16" ht="14.4" x14ac:dyDescent="0.3">
      <c r="M134" s="5"/>
      <c r="N134" s="5"/>
      <c r="O134" s="5"/>
      <c r="P134" s="5"/>
    </row>
    <row r="135" spans="13:16" ht="14.4" x14ac:dyDescent="0.3">
      <c r="M135" s="5"/>
      <c r="N135" s="5"/>
      <c r="O135" s="5"/>
      <c r="P135" s="5"/>
    </row>
    <row r="136" spans="13:16" ht="14.4" x14ac:dyDescent="0.3">
      <c r="M136" s="5"/>
      <c r="N136" s="5"/>
      <c r="O136" s="5"/>
      <c r="P136" s="5"/>
    </row>
    <row r="137" spans="13:16" ht="14.4" x14ac:dyDescent="0.3">
      <c r="M137" s="5"/>
      <c r="N137" s="5"/>
      <c r="O137" s="5"/>
      <c r="P137" s="5"/>
    </row>
    <row r="138" spans="13:16" ht="14.4" x14ac:dyDescent="0.3">
      <c r="M138" s="5"/>
      <c r="N138" s="5"/>
      <c r="O138" s="5"/>
      <c r="P138" s="5"/>
    </row>
    <row r="139" spans="13:16" ht="14.4" x14ac:dyDescent="0.3">
      <c r="M139" s="5"/>
      <c r="N139" s="5"/>
      <c r="O139" s="5"/>
      <c r="P139" s="5"/>
    </row>
    <row r="140" spans="13:16" ht="14.4" x14ac:dyDescent="0.3">
      <c r="M140" s="5"/>
      <c r="N140" s="5"/>
      <c r="O140" s="5"/>
      <c r="P140" s="5"/>
    </row>
    <row r="141" spans="13:16" ht="14.4" x14ac:dyDescent="0.3">
      <c r="M141" s="5"/>
      <c r="N141" s="5"/>
      <c r="O141" s="5"/>
      <c r="P141" s="5"/>
    </row>
    <row r="142" spans="13:16" ht="14.4" x14ac:dyDescent="0.3">
      <c r="M142" s="5"/>
      <c r="N142" s="5"/>
      <c r="O142" s="5"/>
      <c r="P142" s="5"/>
    </row>
    <row r="143" spans="13:16" ht="14.4" x14ac:dyDescent="0.3">
      <c r="M143" s="5"/>
      <c r="N143" s="5"/>
      <c r="O143" s="5"/>
      <c r="P143" s="5"/>
    </row>
    <row r="144" spans="13:16" ht="14.4" x14ac:dyDescent="0.3">
      <c r="M144" s="5"/>
      <c r="N144" s="5"/>
      <c r="O144" s="5"/>
      <c r="P144" s="5"/>
    </row>
    <row r="145" spans="13:16" ht="14.4" x14ac:dyDescent="0.3">
      <c r="M145" s="5"/>
      <c r="N145" s="5"/>
      <c r="O145" s="5"/>
      <c r="P145" s="5"/>
    </row>
    <row r="146" spans="13:16" ht="14.4" x14ac:dyDescent="0.3">
      <c r="M146" s="5"/>
      <c r="N146" s="5"/>
      <c r="O146" s="5"/>
      <c r="P146" s="5"/>
    </row>
    <row r="147" spans="13:16" ht="14.4" x14ac:dyDescent="0.3">
      <c r="M147" s="5"/>
      <c r="N147" s="5"/>
      <c r="O147" s="5"/>
      <c r="P147" s="5"/>
    </row>
    <row r="148" spans="13:16" ht="14.4" x14ac:dyDescent="0.3">
      <c r="M148" s="5"/>
      <c r="N148" s="5"/>
      <c r="O148" s="5"/>
      <c r="P148" s="5"/>
    </row>
    <row r="149" spans="13:16" ht="14.4" x14ac:dyDescent="0.3">
      <c r="M149" s="5"/>
      <c r="N149" s="5"/>
      <c r="O149" s="5"/>
      <c r="P149" s="5"/>
    </row>
    <row r="150" spans="13:16" ht="14.4" x14ac:dyDescent="0.3">
      <c r="M150" s="5"/>
      <c r="N150" s="5"/>
      <c r="O150" s="5"/>
      <c r="P150" s="5"/>
    </row>
    <row r="151" spans="13:16" ht="14.4" x14ac:dyDescent="0.3">
      <c r="M151" s="5"/>
      <c r="N151" s="5"/>
      <c r="O151" s="5"/>
      <c r="P151" s="5"/>
    </row>
    <row r="152" spans="13:16" ht="14.4" x14ac:dyDescent="0.3">
      <c r="M152" s="5"/>
      <c r="N152" s="5"/>
      <c r="O152" s="5"/>
      <c r="P152" s="5"/>
    </row>
    <row r="153" spans="13:16" ht="14.4" x14ac:dyDescent="0.3">
      <c r="M153" s="5"/>
      <c r="N153" s="5"/>
      <c r="O153" s="5"/>
      <c r="P153" s="5"/>
    </row>
    <row r="154" spans="13:16" ht="14.4" x14ac:dyDescent="0.3">
      <c r="M154" s="5"/>
      <c r="N154" s="5"/>
      <c r="O154" s="5"/>
      <c r="P154" s="5"/>
    </row>
    <row r="155" spans="13:16" ht="14.4" x14ac:dyDescent="0.3">
      <c r="M155" s="5"/>
      <c r="N155" s="5"/>
      <c r="O155" s="5"/>
      <c r="P155" s="5"/>
    </row>
    <row r="156" spans="13:16" ht="14.4" x14ac:dyDescent="0.3">
      <c r="M156" s="5"/>
      <c r="N156" s="5"/>
      <c r="O156" s="5"/>
      <c r="P156" s="5"/>
    </row>
    <row r="157" spans="13:16" ht="14.4" x14ac:dyDescent="0.3">
      <c r="M157" s="5"/>
      <c r="N157" s="5"/>
      <c r="O157" s="5"/>
      <c r="P157" s="5"/>
    </row>
    <row r="158" spans="13:16" ht="14.4" x14ac:dyDescent="0.3">
      <c r="M158" s="5"/>
      <c r="N158" s="5"/>
      <c r="O158" s="5"/>
      <c r="P158" s="5"/>
    </row>
    <row r="159" spans="13:16" ht="14.4" x14ac:dyDescent="0.3">
      <c r="M159" s="5"/>
      <c r="N159" s="5"/>
      <c r="O159" s="5"/>
      <c r="P159" s="5"/>
    </row>
    <row r="160" spans="13:16" ht="14.4" x14ac:dyDescent="0.3">
      <c r="M160" s="5"/>
      <c r="N160" s="5"/>
      <c r="O160" s="5"/>
      <c r="P160" s="5"/>
    </row>
    <row r="161" spans="13:16" ht="14.4" x14ac:dyDescent="0.3">
      <c r="M161" s="5"/>
      <c r="N161" s="5"/>
      <c r="O161" s="5"/>
      <c r="P161" s="5"/>
    </row>
    <row r="162" spans="13:16" ht="14.4" x14ac:dyDescent="0.3">
      <c r="M162" s="5"/>
      <c r="N162" s="5"/>
      <c r="O162" s="5"/>
      <c r="P162" s="5"/>
    </row>
    <row r="163" spans="13:16" ht="14.4" x14ac:dyDescent="0.3">
      <c r="M163" s="5"/>
      <c r="N163" s="5"/>
      <c r="O163" s="5"/>
      <c r="P163" s="5"/>
    </row>
    <row r="164" spans="13:16" ht="14.4" x14ac:dyDescent="0.3">
      <c r="M164" s="5"/>
      <c r="N164" s="5"/>
      <c r="O164" s="5"/>
      <c r="P164" s="5"/>
    </row>
    <row r="165" spans="13:16" ht="14.4" x14ac:dyDescent="0.3">
      <c r="M165" s="5"/>
      <c r="N165" s="5"/>
      <c r="O165" s="5"/>
      <c r="P165" s="5"/>
    </row>
    <row r="166" spans="13:16" ht="14.4" x14ac:dyDescent="0.3">
      <c r="M166" s="5"/>
      <c r="N166" s="5"/>
      <c r="O166" s="5"/>
      <c r="P166" s="5"/>
    </row>
    <row r="167" spans="13:16" ht="14.4" x14ac:dyDescent="0.3">
      <c r="M167" s="5"/>
      <c r="N167" s="5"/>
      <c r="O167" s="5"/>
      <c r="P167" s="5"/>
    </row>
    <row r="168" spans="13:16" ht="14.4" x14ac:dyDescent="0.3">
      <c r="M168" s="5"/>
      <c r="N168" s="5"/>
      <c r="O168" s="5"/>
      <c r="P168" s="5"/>
    </row>
    <row r="169" spans="13:16" ht="14.4" x14ac:dyDescent="0.3">
      <c r="M169" s="5"/>
      <c r="N169" s="5"/>
      <c r="O169" s="5"/>
      <c r="P169" s="5"/>
    </row>
    <row r="170" spans="13:16" ht="14.4" x14ac:dyDescent="0.3">
      <c r="M170" s="5"/>
      <c r="N170" s="5"/>
      <c r="O170" s="5"/>
      <c r="P170" s="5"/>
    </row>
  </sheetData>
  <mergeCells count="34">
    <mergeCell ref="B89:J115"/>
    <mergeCell ref="B88:J88"/>
    <mergeCell ref="B81:J81"/>
    <mergeCell ref="B76:J80"/>
    <mergeCell ref="B75:J75"/>
    <mergeCell ref="B70:J70"/>
    <mergeCell ref="B65:J69"/>
    <mergeCell ref="B64:J64"/>
    <mergeCell ref="B59:J59"/>
    <mergeCell ref="B54:J58"/>
    <mergeCell ref="B53:J53"/>
    <mergeCell ref="B51:J51"/>
    <mergeCell ref="B50:J50"/>
    <mergeCell ref="B33:J48"/>
    <mergeCell ref="B32:J32"/>
    <mergeCell ref="B29:J29"/>
    <mergeCell ref="B27:C27"/>
    <mergeCell ref="D27:E27"/>
    <mergeCell ref="F27:G27"/>
    <mergeCell ref="H27:I27"/>
    <mergeCell ref="F26:G26"/>
    <mergeCell ref="H26:I26"/>
    <mergeCell ref="B26:C26"/>
    <mergeCell ref="D26:E26"/>
    <mergeCell ref="F25:G25"/>
    <mergeCell ref="B25:C25"/>
    <mergeCell ref="B1:J2"/>
    <mergeCell ref="B24:J24"/>
    <mergeCell ref="H25:I25"/>
    <mergeCell ref="D25:E25"/>
    <mergeCell ref="B4:J4"/>
    <mergeCell ref="B5:J11"/>
    <mergeCell ref="B13:J13"/>
    <mergeCell ref="B14:J22"/>
  </mergeCells>
  <pageMargins left="0.70000004768371582" right="0.70000004768371582" top="0.75" bottom="0.75" header="0.5118110179901123" footer="0.5118110179901123"/>
  <pageSetup paperSize="9" fitToWidth="0" fitToHeight="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34"/>
  <sheetViews>
    <sheetView workbookViewId="0">
      <selection activeCell="A29" sqref="A29:XFD29"/>
    </sheetView>
  </sheetViews>
  <sheetFormatPr defaultColWidth="9.109375" defaultRowHeight="14.25" customHeight="1" x14ac:dyDescent="0.3"/>
  <cols>
    <col min="26" max="26" width="9.109375" hidden="1" bestFit="1" customWidth="1"/>
  </cols>
  <sheetData>
    <row r="1" spans="1:26" ht="17.25" customHeight="1" x14ac:dyDescent="0.3">
      <c r="A1" s="69" t="s">
        <v>174</v>
      </c>
      <c r="Z1">
        <v>1</v>
      </c>
    </row>
    <row r="2" spans="1:26" ht="14.4" x14ac:dyDescent="0.3">
      <c r="A2" s="71"/>
      <c r="Z2">
        <v>2</v>
      </c>
    </row>
    <row r="3" spans="1:26" ht="15" customHeight="1" x14ac:dyDescent="0.3">
      <c r="A3" s="70" t="s">
        <v>183</v>
      </c>
      <c r="Z3">
        <v>3</v>
      </c>
    </row>
    <row r="4" spans="1:26" ht="15" customHeight="1" x14ac:dyDescent="0.3">
      <c r="A4" s="70" t="s">
        <v>189</v>
      </c>
      <c r="Z4">
        <v>4</v>
      </c>
    </row>
    <row r="5" spans="1:26" ht="15" customHeight="1" x14ac:dyDescent="0.3">
      <c r="A5" s="70"/>
      <c r="Z5">
        <v>5</v>
      </c>
    </row>
    <row r="6" spans="1:26" ht="17.25" customHeight="1" x14ac:dyDescent="0.3">
      <c r="A6" s="69" t="s">
        <v>184</v>
      </c>
      <c r="Z6">
        <v>6</v>
      </c>
    </row>
    <row r="7" spans="1:26" ht="14.4" x14ac:dyDescent="0.3">
      <c r="A7" s="71"/>
      <c r="Z7">
        <v>7</v>
      </c>
    </row>
    <row r="8" spans="1:26" ht="15" customHeight="1" x14ac:dyDescent="0.3">
      <c r="A8" s="70" t="s">
        <v>193</v>
      </c>
    </row>
    <row r="9" spans="1:26" ht="15" customHeight="1" x14ac:dyDescent="0.3">
      <c r="A9" s="70" t="s">
        <v>177</v>
      </c>
    </row>
    <row r="10" spans="1:26" ht="15" customHeight="1" x14ac:dyDescent="0.3">
      <c r="A10" s="70"/>
    </row>
    <row r="11" spans="1:26" ht="17.25" customHeight="1" x14ac:dyDescent="0.3">
      <c r="A11" s="69" t="s">
        <v>178</v>
      </c>
    </row>
    <row r="12" spans="1:26" ht="14.4" x14ac:dyDescent="0.3">
      <c r="A12" s="71"/>
    </row>
    <row r="13" spans="1:26" ht="15" customHeight="1" x14ac:dyDescent="0.3">
      <c r="A13" s="70" t="s">
        <v>175</v>
      </c>
    </row>
    <row r="14" spans="1:26" ht="15" customHeight="1" x14ac:dyDescent="0.3">
      <c r="A14" s="70" t="s">
        <v>180</v>
      </c>
    </row>
    <row r="15" spans="1:26" ht="15" customHeight="1" x14ac:dyDescent="0.3">
      <c r="A15" s="70"/>
    </row>
    <row r="16" spans="1:26" ht="17.25" customHeight="1" x14ac:dyDescent="0.3">
      <c r="A16" s="69" t="s">
        <v>190</v>
      </c>
    </row>
    <row r="17" spans="1:1" ht="14.4" x14ac:dyDescent="0.3">
      <c r="A17" s="71"/>
    </row>
    <row r="18" spans="1:1" ht="15" customHeight="1" x14ac:dyDescent="0.3">
      <c r="A18" s="70" t="s">
        <v>176</v>
      </c>
    </row>
    <row r="19" spans="1:1" ht="15" customHeight="1" x14ac:dyDescent="0.3">
      <c r="A19" s="70" t="s">
        <v>181</v>
      </c>
    </row>
    <row r="20" spans="1:1" ht="15" customHeight="1" x14ac:dyDescent="0.3">
      <c r="A20" s="70"/>
    </row>
    <row r="21" spans="1:1" ht="17.25" customHeight="1" x14ac:dyDescent="0.3">
      <c r="A21" s="69" t="s">
        <v>188</v>
      </c>
    </row>
    <row r="22" spans="1:1" ht="14.4" x14ac:dyDescent="0.3">
      <c r="A22" s="71"/>
    </row>
    <row r="23" spans="1:1" ht="15" customHeight="1" x14ac:dyDescent="0.3">
      <c r="A23" s="70" t="s">
        <v>186</v>
      </c>
    </row>
    <row r="24" spans="1:1" ht="15" customHeight="1" x14ac:dyDescent="0.3">
      <c r="A24" s="70" t="s">
        <v>191</v>
      </c>
    </row>
    <row r="25" spans="1:1" ht="15" customHeight="1" x14ac:dyDescent="0.3">
      <c r="A25" s="70"/>
    </row>
    <row r="26" spans="1:1" ht="17.25" customHeight="1" x14ac:dyDescent="0.3">
      <c r="A26" s="69" t="s">
        <v>179</v>
      </c>
    </row>
    <row r="27" spans="1:1" ht="14.4" x14ac:dyDescent="0.3">
      <c r="A27" s="71"/>
    </row>
    <row r="28" spans="1:1" ht="15" customHeight="1" x14ac:dyDescent="0.3">
      <c r="A28" s="70" t="s">
        <v>182</v>
      </c>
    </row>
    <row r="29" spans="1:1" ht="15" customHeight="1" x14ac:dyDescent="0.3">
      <c r="A29" s="70" t="s">
        <v>187</v>
      </c>
    </row>
    <row r="30" spans="1:1" ht="15" customHeight="1" x14ac:dyDescent="0.3">
      <c r="A30" s="70"/>
    </row>
    <row r="31" spans="1:1" ht="17.25" customHeight="1" x14ac:dyDescent="0.3">
      <c r="A31" s="69" t="s">
        <v>185</v>
      </c>
    </row>
    <row r="32" spans="1:1" ht="14.4" x14ac:dyDescent="0.3">
      <c r="A32" s="71"/>
    </row>
    <row r="33" spans="1:1" ht="15" customHeight="1" x14ac:dyDescent="0.3">
      <c r="A33" s="70" t="s">
        <v>192</v>
      </c>
    </row>
    <row r="34" spans="1:1" ht="15" customHeight="1" x14ac:dyDescent="0.3">
      <c r="A34" s="70" t="s">
        <v>194</v>
      </c>
    </row>
  </sheetData>
  <pageMargins left="0.70000004768371582" right="0.70000004768371582" top="0.75" bottom="0.75" header="0.5118110179901123" footer="0.5118110179901123"/>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Template>Normal.dotm</Template>
  <TotalTime>0</TotalTime>
  <Application>Microsoft Excel</Application>
  <DocSecurity>0</DocSecurity>
  <ScaleCrop>false</ScaleCrop>
  <HeadingPairs>
    <vt:vector size="2" baseType="variant">
      <vt:variant>
        <vt:lpstr>Листы</vt:lpstr>
      </vt:variant>
      <vt:variant>
        <vt:i4>9</vt:i4>
      </vt:variant>
    </vt:vector>
  </HeadingPairs>
  <TitlesOfParts>
    <vt:vector size="9" baseType="lpstr">
      <vt:lpstr>Тест_в1</vt:lpstr>
      <vt:lpstr>Тест_в2</vt:lpstr>
      <vt:lpstr>Механика подсчета результатов</vt:lpstr>
      <vt:lpstr>1. Вводная часть отчета</vt:lpstr>
      <vt:lpstr>2. Харак-ка стилей</vt:lpstr>
      <vt:lpstr>3. Рекомендации по вед стилю </vt:lpstr>
      <vt:lpstr>4.Рекомендации по слаб стилю</vt:lpstr>
      <vt:lpstr>4.Прототип отчета</vt:lpstr>
      <vt:lpstr>Справка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Влад</dc:creator>
  <cp:lastModifiedBy>Владислав Внуковский</cp:lastModifiedBy>
  <dcterms:created xsi:type="dcterms:W3CDTF">2026-07-31T11:12:52Z</dcterms:created>
  <dcterms:modified xsi:type="dcterms:W3CDTF">2026-08-06T14:21:27Z</dcterms:modified>
</cp:coreProperties>
</file>